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2" sheetId="1" state="visible" r:id="rId1"/>
    <sheet xmlns:r="http://schemas.openxmlformats.org/officeDocument/2006/relationships" name="Transformer Tracking Log" sheetId="2" state="visible" r:id="rId2"/>
  </sheets>
  <definedNames>
    <definedName name="_xlnm._FilterDatabase" localSheetId="1" hidden="1">'Transformer Tracking Log'!$A$7:$J$8</definedName>
  </definedNames>
  <calcPr calcId="124519" calcMode="auto" fullCalcOnLoad="1" forceFullCalc="1"/>
</workbook>
</file>

<file path=xl/styles.xml><?xml version="1.0" encoding="utf-8"?>
<styleSheet xmlns="http://schemas.openxmlformats.org/spreadsheetml/2006/main">
  <numFmts count="3">
    <numFmt numFmtId="164" formatCode="yyyy-mm-dd h:mm:ss"/>
    <numFmt numFmtId="165" formatCode="0.000"/>
    <numFmt numFmtId="166" formatCode="yyyy-mm-dd hh:mm"/>
  </numFmts>
  <fonts count="9">
    <font>
      <name val="Calibri"/>
      <family val="2"/>
      <color theme="1"/>
      <sz val="11"/>
      <scheme val="minor"/>
    </font>
    <font>
      <name val="Calibri"/>
      <b val="1"/>
      <color rgb="00000000"/>
      <sz val="11"/>
    </font>
    <font>
      <name val="Calibri"/>
      <color rgb="00000000"/>
      <sz val="11"/>
    </font>
    <font>
      <name val="Calibri"/>
      <b val="1"/>
      <color rgb="00FFFFFF"/>
      <sz val="14"/>
    </font>
    <font>
      <name val="Calibri"/>
      <i val="1"/>
      <color rgb="0017365D"/>
      <sz val="10"/>
    </font>
    <font>
      <b val="1"/>
      <color rgb="0017365D"/>
    </font>
    <font>
      <b val="1"/>
      <color rgb="00FFFFFF"/>
    </font>
    <font>
      <b val="1"/>
      <color rgb="00C00000"/>
    </font>
    <font>
      <b val="1"/>
    </font>
  </fonts>
  <fills count="13">
    <fill>
      <patternFill/>
    </fill>
    <fill>
      <patternFill patternType="gray125"/>
    </fill>
    <fill>
      <patternFill patternType="solid">
        <fgColor rgb="00C6E0B4"/>
      </patternFill>
    </fill>
    <fill>
      <patternFill patternType="solid">
        <fgColor rgb="00B4C6E7"/>
      </patternFill>
    </fill>
    <fill>
      <patternFill patternType="solid">
        <fgColor rgb="00FFD966"/>
      </patternFill>
    </fill>
    <fill>
      <patternFill patternType="solid">
        <fgColor rgb="0017365D"/>
      </patternFill>
    </fill>
    <fill>
      <patternFill patternType="solid">
        <fgColor rgb="00D9EAF7"/>
      </patternFill>
    </fill>
    <fill>
      <patternFill patternType="solid">
        <fgColor rgb="00E2F0D9"/>
      </patternFill>
    </fill>
    <fill>
      <patternFill patternType="solid">
        <fgColor rgb="0070AD47"/>
      </patternFill>
    </fill>
    <fill>
      <patternFill patternType="solid">
        <fgColor rgb="00FCE4D6"/>
      </patternFill>
    </fill>
    <fill>
      <patternFill patternType="solid">
        <fgColor rgb="00F4B183"/>
      </patternFill>
    </fill>
    <fill>
      <patternFill patternType="solid">
        <fgColor rgb="00E7E6E6"/>
      </patternFill>
    </fill>
    <fill>
      <patternFill patternType="solid">
        <fgColor rgb="005B9BD5"/>
      </patternFill>
    </fill>
  </fills>
  <borders count="4">
    <border>
      <left/>
      <right/>
      <top/>
      <bottom/>
      <diagonal/>
    </border>
    <border>
      <left style="medium">
        <color rgb="00000000"/>
      </left>
      <right style="medium">
        <color rgb="00000000"/>
      </right>
      <top style="medium">
        <color rgb="00000000"/>
      </top>
      <bottom style="medium">
        <color rgb="00000000"/>
      </bottom>
    </border>
    <border>
      <left style="thin">
        <color rgb="00000000"/>
      </left>
      <right style="thin">
        <color rgb="00000000"/>
      </right>
      <top style="thin">
        <color rgb="00000000"/>
      </top>
      <bottom style="thin">
        <color rgb="00000000"/>
      </bottom>
    </border>
    <border>
      <bottom style="thin">
        <color rgb="00BFBFBF"/>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xf>
    <xf numFmtId="0" fontId="1" fillId="3" borderId="2" applyAlignment="1" pivotButton="0" quotePrefix="0" xfId="0">
      <alignment horizontal="center" vertical="center"/>
    </xf>
    <xf numFmtId="0" fontId="1" fillId="3" borderId="2" applyAlignment="1" pivotButton="0" quotePrefix="0" xfId="0">
      <alignment horizontal="center" vertical="center" wrapText="1"/>
    </xf>
    <xf numFmtId="0" fontId="2" fillId="2" borderId="2" pivotButton="0" quotePrefix="0" xfId="0"/>
    <xf numFmtId="0" fontId="2" fillId="0" borderId="2" pivotButton="0" quotePrefix="0" xfId="0"/>
    <xf numFmtId="0" fontId="1" fillId="4" borderId="2" applyAlignment="1" pivotButton="0" quotePrefix="0" xfId="0">
      <alignment horizontal="left"/>
    </xf>
    <xf numFmtId="0" fontId="0" fillId="4" borderId="2" pivotButton="0" quotePrefix="0" xfId="0"/>
    <xf numFmtId="2" fontId="1" fillId="4" borderId="2" pivotButton="0" quotePrefix="0" xfId="0"/>
    <xf numFmtId="0" fontId="3" fillId="5" borderId="0" applyAlignment="1" pivotButton="0" quotePrefix="0" xfId="0">
      <alignment horizontal="center" vertical="center" wrapText="1"/>
    </xf>
    <xf numFmtId="0" fontId="4" fillId="6" borderId="0" applyAlignment="1" pivotButton="0" quotePrefix="0" xfId="0">
      <alignment vertical="center" wrapText="1"/>
    </xf>
    <xf numFmtId="0" fontId="5" fillId="7" borderId="3" applyAlignment="1" pivotButton="0" quotePrefix="0" xfId="0">
      <alignment vertical="center" wrapText="1"/>
    </xf>
    <xf numFmtId="0" fontId="6" fillId="8" borderId="3" applyAlignment="1" pivotButton="0" quotePrefix="0" xfId="0">
      <alignment horizontal="center" vertical="center"/>
    </xf>
    <xf numFmtId="2" fontId="6" fillId="8" borderId="3" applyAlignment="1" pivotButton="0" quotePrefix="0" xfId="0">
      <alignment horizontal="center" vertical="center"/>
    </xf>
    <xf numFmtId="0" fontId="7" fillId="9" borderId="0" pivotButton="0" quotePrefix="0" xfId="0"/>
    <xf numFmtId="0" fontId="8" fillId="10" borderId="0" applyAlignment="1" pivotButton="0" quotePrefix="0" xfId="0">
      <alignment horizontal="center"/>
    </xf>
    <xf numFmtId="0" fontId="5" fillId="11" borderId="0" applyAlignment="1" pivotButton="0" quotePrefix="0" xfId="0">
      <alignment vertical="center" wrapText="1"/>
    </xf>
    <xf numFmtId="0" fontId="6" fillId="5" borderId="0" applyAlignment="1" pivotButton="0" quotePrefix="0" xfId="0">
      <alignment horizontal="left"/>
    </xf>
    <xf numFmtId="0" fontId="6" fillId="12" borderId="0" applyAlignment="1" pivotButton="0" quotePrefix="0" xfId="0">
      <alignment horizontal="center" vertical="center" wrapText="1"/>
    </xf>
    <xf numFmtId="0" fontId="0" fillId="0" borderId="3" applyAlignment="1" pivotButton="0" quotePrefix="0" xfId="0">
      <alignment vertical="top"/>
    </xf>
    <xf numFmtId="0" fontId="0" fillId="0" borderId="3" applyAlignment="1" pivotButton="0" quotePrefix="0" xfId="0">
      <alignment vertical="top" wrapText="1"/>
    </xf>
    <xf numFmtId="2" fontId="0" fillId="0" borderId="3" applyAlignment="1" pivotButton="0" quotePrefix="0" xfId="0">
      <alignment vertical="top"/>
    </xf>
    <xf numFmtId="0" fontId="6" fillId="5" borderId="0" pivotButton="0" quotePrefix="0" xfId="0"/>
    <xf numFmtId="165" fontId="0" fillId="0" borderId="3" applyAlignment="1" pivotButton="0" quotePrefix="0" xfId="0">
      <alignment vertical="top"/>
    </xf>
    <xf numFmtId="166" fontId="0" fillId="0" borderId="3" applyAlignment="1" pivotButton="0" quotePrefix="0" xfId="0">
      <alignment vertical="top"/>
    </xf>
    <xf numFmtId="0" fontId="7" fillId="10" borderId="0" pivotButton="0" quotePrefix="0" xfId="0"/>
    <xf numFmtId="0" fontId="5" fillId="11" borderId="0" applyAlignment="1" pivotButton="0" quotePrefix="0" xfId="0">
      <alignment horizontal="center" vertical="center" wrapText="1"/>
    </xf>
  </cellXfs>
  <cellStyles count="1">
    <cellStyle name="Normal" xfId="0" builtinId="0" hidden="0"/>
  </cellStyles>
  <dxfs count="2">
    <dxf>
      <font>
        <b val="1"/>
        <color rgb="009C5700"/>
      </font>
      <fill>
        <patternFill patternType="solid">
          <fgColor rgb="00FCE4D6"/>
        </patternFill>
      </fill>
    </dxf>
    <dxf>
      <font>
        <b val="1"/>
        <color rgb="00C00000"/>
      </font>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LocalizedTransformerRegister" displayName="LocalizedTransformerRegister" ref="A7:J8" headerRowCount="1">
  <autoFilter ref="A7:J8"/>
  <tableColumns count="10">
    <tableColumn id="1" name="Transformer No."/>
    <tableColumn id="2" name="Transformer Name"/>
    <tableColumn id="3" name="System OBJECTID(s)"/>
    <tableColumn id="4" name="Surveyor(s) Working"/>
    <tableColumn id="5" name="LV Records"/>
    <tableColumn id="6" name="Total km"/>
    <tableColumn id="7" name="Crossing Records"/>
    <tableColumn id="8" name="Outside Records"/>
    <tableColumn id="9" name="Exception km"/>
    <tableColumn id="10" name="Match Evidence"/>
  </tableColumns>
  <tableStyleInfo name="TableStyleMedium2" showFirstColumn="0" showLastColumn="0" showRowStripes="1" showColumnStripes="0"/>
</table>
</file>

<file path=xl/tables/table2.xml><?xml version="1.0" encoding="utf-8"?>
<table xmlns="http://schemas.openxmlformats.org/spreadsheetml/2006/main" id="2" name="TransformerBoundaryContinuation" displayName="TransformerBoundaryContinuation" ref="A11:M40" headerRowCount="1">
  <autoFilter ref="A11:M40"/>
  <tableColumns count="13">
    <tableColumn id="1" name="S/N"/>
    <tableColumn id="2" name="Transformer No."/>
    <tableColumn id="3" name="Transformer Name"/>
    <tableColumn id="4" name="Transformer OBJECTID(s)"/>
    <tableColumn id="5" name="Creator Name"/>
    <tableColumn id="6" name="User Name"/>
    <tableColumn id="7" name="Line OBJECTID"/>
    <tableColumn id="8" name="Boundary Status"/>
    <tableColumn id="9" name="Line km"/>
    <tableColumn id="10" name="District(s) Touched"/>
    <tableColumn id="11" name="Sector(s) Touched"/>
    <tableColumn id="12" name="Cell(s) Touched"/>
    <tableColumn id="13" name="Created D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sheetPr>
  <dimension ref="A2:D6"/>
  <sheetViews>
    <sheetView workbookViewId="0">
      <selection activeCell="A1" sqref="A1"/>
    </sheetView>
  </sheetViews>
  <sheetFormatPr baseColWidth="8" defaultRowHeight="15.75"/>
  <cols>
    <col width="7.28515625" customWidth="1" min="1" max="1"/>
    <col width="63.140625" customWidth="1" min="2" max="2"/>
    <col width="37.42578125" customWidth="1" min="3" max="3"/>
    <col width="18.28515625" customWidth="1" min="4" max="4"/>
  </cols>
  <sheetData>
    <row r="2" ht="18" customHeight="1">
      <c r="A2" s="1" t="inlineStr">
        <is>
          <t>Progress Report CUSTOM BOUNDARY (From 14th September to 14th September 2026)</t>
        </is>
      </c>
    </row>
    <row r="4" ht="30" customHeight="1">
      <c r="A4" s="2" t="inlineStr">
        <is>
          <t>S/N</t>
        </is>
      </c>
      <c r="B4" s="2" t="inlineStr">
        <is>
          <t>Creator Name</t>
        </is>
      </c>
      <c r="C4" s="2" t="inlineStr">
        <is>
          <t>User Name</t>
        </is>
      </c>
      <c r="D4" s="3" t="inlineStr">
        <is>
          <t>Surveyed LV Line Records(km)</t>
        </is>
      </c>
    </row>
    <row r="5">
      <c r="A5" s="4" t="n">
        <v>1</v>
      </c>
      <c r="B5" s="5" t="inlineStr">
        <is>
          <t>Manzi Intime</t>
        </is>
      </c>
      <c r="C5" s="5" t="inlineStr">
        <is>
          <t>maniraguhatheogene01</t>
        </is>
      </c>
      <c r="D5" s="5" t="n">
        <v>3.217127680641234</v>
      </c>
    </row>
    <row r="6">
      <c r="A6" s="6" t="inlineStr">
        <is>
          <t>Total</t>
        </is>
      </c>
      <c r="B6" s="7" t="n"/>
      <c r="C6" s="7" t="n"/>
      <c r="D6" s="8">
        <f>SUM(D5:D5)</f>
        <v/>
      </c>
    </row>
  </sheetData>
  <mergeCells count="2">
    <mergeCell ref="A6:C6"/>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showGridLines="0" workbookViewId="0">
      <pane ySplit="7" topLeftCell="A8" activePane="bottomLeft" state="frozen"/>
      <selection pane="bottomLeft" activeCell="A1" sqref="A1"/>
    </sheetView>
  </sheetViews>
  <sheetFormatPr baseColWidth="8" defaultRowHeight="15"/>
  <cols>
    <col width="12" customWidth="1" min="1" max="1"/>
    <col width="19" customWidth="1" min="2" max="2"/>
    <col width="28" customWidth="1" min="3" max="3"/>
    <col width="24" customWidth="1" min="4" max="4"/>
    <col width="30" customWidth="1" min="5" max="5"/>
    <col width="25" customWidth="1" min="6" max="6"/>
    <col width="16" customWidth="1" min="7" max="7"/>
    <col width="28" customWidth="1" min="8" max="8"/>
    <col width="12" customWidth="1" min="9" max="9"/>
    <col width="23" customWidth="1" min="10" max="10"/>
    <col width="24" customWidth="1" min="11" max="11"/>
    <col width="27" customWidth="1" min="12" max="12"/>
    <col width="20" customWidth="1" min="13" max="13"/>
  </cols>
  <sheetData>
    <row r="1" ht="36" customHeight="1">
      <c r="A1" s="9" t="inlineStr">
        <is>
          <t>Transformer Boundary Continuation Log - Progress Report CUSTOM BOUNDARY (From 14th September to 14th September 2026)</t>
        </is>
      </c>
    </row>
    <row r="2" ht="34" customHeight="1">
      <c r="A2" s="10" t="inlineStr">
        <is>
          <t>The selected boundary localizes distribution-transformer points. A validated Connected utility-network trace supplies distinct LV feature IDs for each point. Survey dates and users are applied afterward. Lines reached from multiple transformers are listed below for review and excluded from totals.</t>
        </is>
      </c>
    </row>
    <row r="4" ht="30" customHeight="1">
      <c r="A4" s="11" t="inlineStr">
        <is>
          <t>Transformers</t>
        </is>
      </c>
      <c r="B4" s="12">
        <f>COUNTA(A8:A8)</f>
        <v/>
      </c>
      <c r="C4" s="11" t="inlineStr">
        <is>
          <t>Surveyors</t>
        </is>
      </c>
      <c r="D4" s="12" t="n">
        <v>1</v>
      </c>
      <c r="E4" s="11" t="inlineStr">
        <is>
          <t>LV records</t>
        </is>
      </c>
      <c r="F4" s="12">
        <f>SUM(E8:E8)</f>
        <v/>
      </c>
      <c r="G4" s="11" t="inlineStr">
        <is>
          <t>LV km</t>
        </is>
      </c>
      <c r="H4" s="13">
        <f>SUM(F8:F8)</f>
        <v/>
      </c>
      <c r="I4" s="11" t="inlineStr">
        <is>
          <t>Cross / outside</t>
        </is>
      </c>
      <c r="J4" s="12">
        <f>SUM(G8:H8)</f>
        <v/>
      </c>
      <c r="K4" s="11" t="inlineStr">
        <is>
          <t>Exception km</t>
        </is>
      </c>
      <c r="L4" s="13">
        <f>SUM(I8:I8)</f>
        <v/>
      </c>
    </row>
    <row r="5">
      <c r="A5" s="14" t="inlineStr">
        <is>
          <t>Warnings</t>
        </is>
      </c>
      <c r="B5" s="15" t="n">
        <v>0</v>
      </c>
      <c r="C5" s="16" t="inlineStr">
        <is>
          <t>Selected boundary: Custom drawn polygon</t>
        </is>
      </c>
    </row>
    <row r="6">
      <c r="A6" s="17" t="inlineStr">
        <is>
          <t>Localized Transformer Register</t>
        </is>
      </c>
    </row>
    <row r="7" ht="30" customHeight="1">
      <c r="A7" s="18" t="inlineStr">
        <is>
          <t>Transformer No.</t>
        </is>
      </c>
      <c r="B7" s="18" t="inlineStr">
        <is>
          <t>Transformer Name</t>
        </is>
      </c>
      <c r="C7" s="18" t="inlineStr">
        <is>
          <t>System OBJECTID(s)</t>
        </is>
      </c>
      <c r="D7" s="18" t="inlineStr">
        <is>
          <t>Surveyor(s) Working</t>
        </is>
      </c>
      <c r="E7" s="18" t="inlineStr">
        <is>
          <t>LV Records</t>
        </is>
      </c>
      <c r="F7" s="18" t="inlineStr">
        <is>
          <t>Total km</t>
        </is>
      </c>
      <c r="G7" s="18" t="inlineStr">
        <is>
          <t>Crossing Records</t>
        </is>
      </c>
      <c r="H7" s="18" t="inlineStr">
        <is>
          <t>Outside Records</t>
        </is>
      </c>
      <c r="I7" s="18" t="inlineStr">
        <is>
          <t>Exception km</t>
        </is>
      </c>
      <c r="J7" s="18" t="inlineStr">
        <is>
          <t>Match Evidence</t>
        </is>
      </c>
    </row>
    <row r="8">
      <c r="A8" s="19" t="inlineStr">
        <is>
          <t>T-001</t>
        </is>
      </c>
      <c r="B8" s="20" t="inlineStr">
        <is>
          <t>Mburamazi trf</t>
        </is>
      </c>
      <c r="C8" s="20" t="inlineStr">
        <is>
          <t>227017</t>
        </is>
      </c>
      <c r="D8" s="20" t="inlineStr">
        <is>
          <t>Manzi Intime (maniraguhatheogene01)</t>
        </is>
      </c>
      <c r="E8" s="19" t="n">
        <v>29</v>
      </c>
      <c r="F8" s="21" t="n">
        <v>3.217127680641234</v>
      </c>
      <c r="G8" s="19" t="n">
        <v>1</v>
      </c>
      <c r="H8" s="19" t="n">
        <v>28</v>
      </c>
      <c r="I8" s="21" t="n">
        <v>3.217127680641234</v>
      </c>
      <c r="J8" s="19" t="inlineStr">
        <is>
          <t>Connected trace; one transformer point</t>
        </is>
      </c>
    </row>
    <row r="10">
      <c r="A10" s="22" t="inlineStr">
        <is>
          <t>Boundary Continuation Detail</t>
        </is>
      </c>
    </row>
    <row r="11" ht="34" customHeight="1">
      <c r="A11" s="18" t="inlineStr">
        <is>
          <t>S/N</t>
        </is>
      </c>
      <c r="B11" s="18" t="inlineStr">
        <is>
          <t>Transformer No.</t>
        </is>
      </c>
      <c r="C11" s="18" t="inlineStr">
        <is>
          <t>Transformer Name</t>
        </is>
      </c>
      <c r="D11" s="18" t="inlineStr">
        <is>
          <t>Transformer OBJECTID(s)</t>
        </is>
      </c>
      <c r="E11" s="18" t="inlineStr">
        <is>
          <t>Creator Name</t>
        </is>
      </c>
      <c r="F11" s="18" t="inlineStr">
        <is>
          <t>User Name</t>
        </is>
      </c>
      <c r="G11" s="18" t="inlineStr">
        <is>
          <t>Line OBJECTID</t>
        </is>
      </c>
      <c r="H11" s="18" t="inlineStr">
        <is>
          <t>Boundary Status</t>
        </is>
      </c>
      <c r="I11" s="18" t="inlineStr">
        <is>
          <t>Line km</t>
        </is>
      </c>
      <c r="J11" s="18" t="inlineStr">
        <is>
          <t>District(s) Touched</t>
        </is>
      </c>
      <c r="K11" s="18" t="inlineStr">
        <is>
          <t>Sector(s) Touched</t>
        </is>
      </c>
      <c r="L11" s="18" t="inlineStr">
        <is>
          <t>Cell(s) Touched</t>
        </is>
      </c>
      <c r="M11" s="18" t="inlineStr">
        <is>
          <t>Created Date</t>
        </is>
      </c>
    </row>
    <row r="12">
      <c r="A12" s="19" t="n">
        <v>1</v>
      </c>
      <c r="B12" s="19" t="inlineStr">
        <is>
          <t>T-001</t>
        </is>
      </c>
      <c r="C12" s="20" t="inlineStr">
        <is>
          <t>Mburamazi trf</t>
        </is>
      </c>
      <c r="D12" s="20" t="inlineStr">
        <is>
          <t>227017</t>
        </is>
      </c>
      <c r="E12" s="20" t="inlineStr">
        <is>
          <t>Manzi Intime</t>
        </is>
      </c>
      <c r="F12" s="19" t="inlineStr">
        <is>
          <t>maniraguhatheogene01</t>
        </is>
      </c>
      <c r="G12" s="19" t="n">
        <v>493780</v>
      </c>
      <c r="H12" s="20" t="inlineStr">
        <is>
          <t>CROSSES SELECTED BOUNDARY</t>
        </is>
      </c>
      <c r="I12" s="23" t="n">
        <v>0.02878409599292638</v>
      </c>
      <c r="J12" s="20" t="inlineStr">
        <is>
          <t>Gicumbi</t>
        </is>
      </c>
      <c r="K12" s="20" t="inlineStr">
        <is>
          <t>Rukomo</t>
        </is>
      </c>
      <c r="L12" s="20" t="inlineStr">
        <is>
          <t>Kinyami; Mabare</t>
        </is>
      </c>
      <c r="M12" s="24" t="n">
        <v>46279.22900462963</v>
      </c>
    </row>
    <row r="13">
      <c r="A13" s="19" t="n">
        <v>2</v>
      </c>
      <c r="B13" s="19" t="inlineStr">
        <is>
          <t>T-001</t>
        </is>
      </c>
      <c r="C13" s="20" t="inlineStr">
        <is>
          <t>Mburamazi trf</t>
        </is>
      </c>
      <c r="D13" s="20" t="inlineStr">
        <is>
          <t>227017</t>
        </is>
      </c>
      <c r="E13" s="20" t="inlineStr">
        <is>
          <t>Manzi Intime</t>
        </is>
      </c>
      <c r="F13" s="19" t="inlineStr">
        <is>
          <t>maniraguhatheogene01</t>
        </is>
      </c>
      <c r="G13" s="19" t="n">
        <v>493387</v>
      </c>
      <c r="H13" s="20" t="inlineStr">
        <is>
          <t>FOLLOWED OUTSIDE BOUNDARY</t>
        </is>
      </c>
      <c r="I13" s="23" t="n">
        <v>0.1381064861086069</v>
      </c>
      <c r="J13" s="20" t="inlineStr">
        <is>
          <t>Gicumbi</t>
        </is>
      </c>
      <c r="K13" s="20" t="inlineStr">
        <is>
          <t>Rukomo</t>
        </is>
      </c>
      <c r="L13" s="20" t="inlineStr">
        <is>
          <t>Kinyami</t>
        </is>
      </c>
      <c r="M13" s="24" t="n">
        <v>46279.2762037037</v>
      </c>
    </row>
    <row r="14">
      <c r="A14" s="19" t="n">
        <v>3</v>
      </c>
      <c r="B14" s="19" t="inlineStr">
        <is>
          <t>T-001</t>
        </is>
      </c>
      <c r="C14" s="20" t="inlineStr">
        <is>
          <t>Mburamazi trf</t>
        </is>
      </c>
      <c r="D14" s="20" t="inlineStr">
        <is>
          <t>227017</t>
        </is>
      </c>
      <c r="E14" s="20" t="inlineStr">
        <is>
          <t>Manzi Intime</t>
        </is>
      </c>
      <c r="F14" s="19" t="inlineStr">
        <is>
          <t>maniraguhatheogene01</t>
        </is>
      </c>
      <c r="G14" s="19" t="n">
        <v>496581</v>
      </c>
      <c r="H14" s="20" t="inlineStr">
        <is>
          <t>FOLLOWED OUTSIDE BOUNDARY</t>
        </is>
      </c>
      <c r="I14" s="23" t="n">
        <v>0.02744793359945335</v>
      </c>
      <c r="J14" s="20" t="inlineStr">
        <is>
          <t>Gicumbi</t>
        </is>
      </c>
      <c r="K14" s="20" t="inlineStr">
        <is>
          <t>Rukomo</t>
        </is>
      </c>
      <c r="L14" s="20" t="inlineStr">
        <is>
          <t>Kinyami</t>
        </is>
      </c>
      <c r="M14" s="24" t="n">
        <v>46279.23069444444</v>
      </c>
    </row>
    <row r="15">
      <c r="A15" s="19" t="n">
        <v>4</v>
      </c>
      <c r="B15" s="19" t="inlineStr">
        <is>
          <t>T-001</t>
        </is>
      </c>
      <c r="C15" s="20" t="inlineStr">
        <is>
          <t>Mburamazi trf</t>
        </is>
      </c>
      <c r="D15" s="20" t="inlineStr">
        <is>
          <t>227017</t>
        </is>
      </c>
      <c r="E15" s="20" t="inlineStr">
        <is>
          <t>Manzi Intime</t>
        </is>
      </c>
      <c r="F15" s="19" t="inlineStr">
        <is>
          <t>maniraguhatheogene01</t>
        </is>
      </c>
      <c r="G15" s="19" t="n">
        <v>498180</v>
      </c>
      <c r="H15" s="20" t="inlineStr">
        <is>
          <t>FOLLOWED OUTSIDE BOUNDARY</t>
        </is>
      </c>
      <c r="I15" s="23" t="n">
        <v>0.02746779601005512</v>
      </c>
      <c r="J15" s="20" t="inlineStr">
        <is>
          <t>Gicumbi</t>
        </is>
      </c>
      <c r="K15" s="20" t="inlineStr">
        <is>
          <t>Rukomo</t>
        </is>
      </c>
      <c r="L15" s="20" t="inlineStr">
        <is>
          <t>Kinyami</t>
        </is>
      </c>
      <c r="M15" s="24" t="n">
        <v>46279.23181712963</v>
      </c>
    </row>
    <row r="16">
      <c r="A16" s="19" t="n">
        <v>5</v>
      </c>
      <c r="B16" s="19" t="inlineStr">
        <is>
          <t>T-001</t>
        </is>
      </c>
      <c r="C16" s="20" t="inlineStr">
        <is>
          <t>Mburamazi trf</t>
        </is>
      </c>
      <c r="D16" s="20" t="inlineStr">
        <is>
          <t>227017</t>
        </is>
      </c>
      <c r="E16" s="20" t="inlineStr">
        <is>
          <t>Manzi Intime</t>
        </is>
      </c>
      <c r="F16" s="19" t="inlineStr">
        <is>
          <t>maniraguhatheogene01</t>
        </is>
      </c>
      <c r="G16" s="19" t="n">
        <v>500579</v>
      </c>
      <c r="H16" s="20" t="inlineStr">
        <is>
          <t>FOLLOWED OUTSIDE BOUNDARY</t>
        </is>
      </c>
      <c r="I16" s="23" t="n">
        <v>0.1785101104066285</v>
      </c>
      <c r="J16" s="20" t="inlineStr">
        <is>
          <t>Gicumbi</t>
        </is>
      </c>
      <c r="K16" s="20" t="inlineStr">
        <is>
          <t>Rukomo</t>
        </is>
      </c>
      <c r="L16" s="20" t="inlineStr">
        <is>
          <t>Kinyami</t>
        </is>
      </c>
      <c r="M16" s="24" t="n">
        <v>46279.24619212963</v>
      </c>
    </row>
    <row r="17">
      <c r="A17" s="19" t="n">
        <v>6</v>
      </c>
      <c r="B17" s="19" t="inlineStr">
        <is>
          <t>T-001</t>
        </is>
      </c>
      <c r="C17" s="20" t="inlineStr">
        <is>
          <t>Mburamazi trf</t>
        </is>
      </c>
      <c r="D17" s="20" t="inlineStr">
        <is>
          <t>227017</t>
        </is>
      </c>
      <c r="E17" s="20" t="inlineStr">
        <is>
          <t>Manzi Intime</t>
        </is>
      </c>
      <c r="F17" s="19" t="inlineStr">
        <is>
          <t>maniraguhatheogene01</t>
        </is>
      </c>
      <c r="G17" s="19" t="n">
        <v>500583</v>
      </c>
      <c r="H17" s="20" t="inlineStr">
        <is>
          <t>FOLLOWED OUTSIDE BOUNDARY</t>
        </is>
      </c>
      <c r="I17" s="23" t="n">
        <v>0.06029223419686818</v>
      </c>
      <c r="J17" s="20" t="inlineStr">
        <is>
          <t>Gicumbi</t>
        </is>
      </c>
      <c r="K17" s="20" t="inlineStr">
        <is>
          <t>Rukomo</t>
        </is>
      </c>
      <c r="L17" s="20" t="inlineStr">
        <is>
          <t>Kinyami</t>
        </is>
      </c>
      <c r="M17" s="24" t="n">
        <v>46279.28131944445</v>
      </c>
    </row>
    <row r="18">
      <c r="A18" s="19" t="n">
        <v>7</v>
      </c>
      <c r="B18" s="19" t="inlineStr">
        <is>
          <t>T-001</t>
        </is>
      </c>
      <c r="C18" s="20" t="inlineStr">
        <is>
          <t>Mburamazi trf</t>
        </is>
      </c>
      <c r="D18" s="20" t="inlineStr">
        <is>
          <t>227017</t>
        </is>
      </c>
      <c r="E18" s="20" t="inlineStr">
        <is>
          <t>Manzi Intime</t>
        </is>
      </c>
      <c r="F18" s="19" t="inlineStr">
        <is>
          <t>maniraguhatheogene01</t>
        </is>
      </c>
      <c r="G18" s="19" t="n">
        <v>502179</v>
      </c>
      <c r="H18" s="20" t="inlineStr">
        <is>
          <t>FOLLOWED OUTSIDE BOUNDARY</t>
        </is>
      </c>
      <c r="I18" s="23" t="n">
        <v>0.05888644253145201</v>
      </c>
      <c r="J18" s="20" t="inlineStr">
        <is>
          <t>Gicumbi</t>
        </is>
      </c>
      <c r="K18" s="20" t="inlineStr">
        <is>
          <t>Rukomo</t>
        </is>
      </c>
      <c r="L18" s="20" t="inlineStr">
        <is>
          <t>Kinyami</t>
        </is>
      </c>
      <c r="M18" s="24" t="n">
        <v>46279.25013888889</v>
      </c>
    </row>
    <row r="19">
      <c r="A19" s="19" t="n">
        <v>8</v>
      </c>
      <c r="B19" s="19" t="inlineStr">
        <is>
          <t>T-001</t>
        </is>
      </c>
      <c r="C19" s="20" t="inlineStr">
        <is>
          <t>Mburamazi trf</t>
        </is>
      </c>
      <c r="D19" s="20" t="inlineStr">
        <is>
          <t>227017</t>
        </is>
      </c>
      <c r="E19" s="20" t="inlineStr">
        <is>
          <t>Manzi Intime</t>
        </is>
      </c>
      <c r="F19" s="19" t="inlineStr">
        <is>
          <t>maniraguhatheogene01</t>
        </is>
      </c>
      <c r="G19" s="19" t="n">
        <v>504183</v>
      </c>
      <c r="H19" s="20" t="inlineStr">
        <is>
          <t>FOLLOWED OUTSIDE BOUNDARY</t>
        </is>
      </c>
      <c r="I19" s="23" t="n">
        <v>0.1475123724649495</v>
      </c>
      <c r="J19" s="20" t="inlineStr">
        <is>
          <t>Gicumbi</t>
        </is>
      </c>
      <c r="K19" s="20" t="inlineStr">
        <is>
          <t>Rukomo</t>
        </is>
      </c>
      <c r="L19" s="20" t="inlineStr">
        <is>
          <t>Kinyami</t>
        </is>
      </c>
      <c r="M19" s="24" t="n">
        <v>46279.29899305556</v>
      </c>
    </row>
    <row r="20">
      <c r="A20" s="19" t="n">
        <v>9</v>
      </c>
      <c r="B20" s="19" t="inlineStr">
        <is>
          <t>T-001</t>
        </is>
      </c>
      <c r="C20" s="20" t="inlineStr">
        <is>
          <t>Mburamazi trf</t>
        </is>
      </c>
      <c r="D20" s="20" t="inlineStr">
        <is>
          <t>227017</t>
        </is>
      </c>
      <c r="E20" s="20" t="inlineStr">
        <is>
          <t>Manzi Intime</t>
        </is>
      </c>
      <c r="F20" s="19" t="inlineStr">
        <is>
          <t>maniraguhatheogene01</t>
        </is>
      </c>
      <c r="G20" s="19" t="n">
        <v>506183</v>
      </c>
      <c r="H20" s="20" t="inlineStr">
        <is>
          <t>FOLLOWED OUTSIDE BOUNDARY</t>
        </is>
      </c>
      <c r="I20" s="23" t="n">
        <v>0.106871508742777</v>
      </c>
      <c r="J20" s="20" t="inlineStr">
        <is>
          <t>Gicumbi</t>
        </is>
      </c>
      <c r="K20" s="20" t="inlineStr">
        <is>
          <t>Rukomo</t>
        </is>
      </c>
      <c r="L20" s="20" t="inlineStr">
        <is>
          <t>Kinyami</t>
        </is>
      </c>
      <c r="M20" s="24" t="n">
        <v>46279.28380787037</v>
      </c>
    </row>
    <row r="21">
      <c r="A21" s="19" t="n">
        <v>10</v>
      </c>
      <c r="B21" s="19" t="inlineStr">
        <is>
          <t>T-001</t>
        </is>
      </c>
      <c r="C21" s="20" t="inlineStr">
        <is>
          <t>Mburamazi trf</t>
        </is>
      </c>
      <c r="D21" s="20" t="inlineStr">
        <is>
          <t>227017</t>
        </is>
      </c>
      <c r="E21" s="20" t="inlineStr">
        <is>
          <t>Manzi Intime</t>
        </is>
      </c>
      <c r="F21" s="19" t="inlineStr">
        <is>
          <t>maniraguhatheogene01</t>
        </is>
      </c>
      <c r="G21" s="19" t="n">
        <v>506979</v>
      </c>
      <c r="H21" s="20" t="inlineStr">
        <is>
          <t>FOLLOWED OUTSIDE BOUNDARY</t>
        </is>
      </c>
      <c r="I21" s="23" t="n">
        <v>0.3244672263230097</v>
      </c>
      <c r="J21" s="20" t="inlineStr">
        <is>
          <t>Gicumbi</t>
        </is>
      </c>
      <c r="K21" s="20" t="inlineStr">
        <is>
          <t>Rukomo</t>
        </is>
      </c>
      <c r="L21" s="20" t="inlineStr">
        <is>
          <t>Kinyami</t>
        </is>
      </c>
      <c r="M21" s="24" t="n">
        <v>46279.26712962963</v>
      </c>
    </row>
    <row r="22">
      <c r="A22" s="19" t="n">
        <v>11</v>
      </c>
      <c r="B22" s="19" t="inlineStr">
        <is>
          <t>T-001</t>
        </is>
      </c>
      <c r="C22" s="20" t="inlineStr">
        <is>
          <t>Mburamazi trf</t>
        </is>
      </c>
      <c r="D22" s="20" t="inlineStr">
        <is>
          <t>227017</t>
        </is>
      </c>
      <c r="E22" s="20" t="inlineStr">
        <is>
          <t>Manzi Intime</t>
        </is>
      </c>
      <c r="F22" s="19" t="inlineStr">
        <is>
          <t>maniraguhatheogene01</t>
        </is>
      </c>
      <c r="G22" s="19" t="n">
        <v>508581</v>
      </c>
      <c r="H22" s="20" t="inlineStr">
        <is>
          <t>FOLLOWED OUTSIDE BOUNDARY</t>
        </is>
      </c>
      <c r="I22" s="23" t="n">
        <v>0.04695406081277742</v>
      </c>
      <c r="J22" s="20" t="inlineStr">
        <is>
          <t>Gicumbi</t>
        </is>
      </c>
      <c r="K22" s="20" t="inlineStr">
        <is>
          <t>Rukomo</t>
        </is>
      </c>
      <c r="L22" s="20" t="inlineStr">
        <is>
          <t>Kinyami</t>
        </is>
      </c>
      <c r="M22" s="24" t="n">
        <v>46279.28824074074</v>
      </c>
    </row>
    <row r="23">
      <c r="A23" s="19" t="n">
        <v>12</v>
      </c>
      <c r="B23" s="19" t="inlineStr">
        <is>
          <t>T-001</t>
        </is>
      </c>
      <c r="C23" s="20" t="inlineStr">
        <is>
          <t>Mburamazi trf</t>
        </is>
      </c>
      <c r="D23" s="20" t="inlineStr">
        <is>
          <t>227017</t>
        </is>
      </c>
      <c r="E23" s="20" t="inlineStr">
        <is>
          <t>Manzi Intime</t>
        </is>
      </c>
      <c r="F23" s="19" t="inlineStr">
        <is>
          <t>maniraguhatheogene01</t>
        </is>
      </c>
      <c r="G23" s="19" t="n">
        <v>509784</v>
      </c>
      <c r="H23" s="20" t="inlineStr">
        <is>
          <t>FOLLOWED OUTSIDE BOUNDARY</t>
        </is>
      </c>
      <c r="I23" s="23" t="n">
        <v>0.1024103510288703</v>
      </c>
      <c r="J23" s="20" t="inlineStr">
        <is>
          <t>Gicumbi</t>
        </is>
      </c>
      <c r="K23" s="20" t="inlineStr">
        <is>
          <t>Rukomo</t>
        </is>
      </c>
      <c r="L23" s="20" t="inlineStr">
        <is>
          <t>Kinyami</t>
        </is>
      </c>
      <c r="M23" s="24" t="n">
        <v>46279.31357638889</v>
      </c>
    </row>
    <row r="24">
      <c r="A24" s="19" t="n">
        <v>13</v>
      </c>
      <c r="B24" s="19" t="inlineStr">
        <is>
          <t>T-001</t>
        </is>
      </c>
      <c r="C24" s="20" t="inlineStr">
        <is>
          <t>Mburamazi trf</t>
        </is>
      </c>
      <c r="D24" s="20" t="inlineStr">
        <is>
          <t>227017</t>
        </is>
      </c>
      <c r="E24" s="20" t="inlineStr">
        <is>
          <t>Manzi Intime</t>
        </is>
      </c>
      <c r="F24" s="19" t="inlineStr">
        <is>
          <t>maniraguhatheogene01</t>
        </is>
      </c>
      <c r="G24" s="19" t="n">
        <v>512979</v>
      </c>
      <c r="H24" s="20" t="inlineStr">
        <is>
          <t>FOLLOWED OUTSIDE BOUNDARY</t>
        </is>
      </c>
      <c r="I24" s="23" t="n">
        <v>0.04087263820430484</v>
      </c>
      <c r="J24" s="20" t="inlineStr">
        <is>
          <t>Gicumbi</t>
        </is>
      </c>
      <c r="K24" s="20" t="inlineStr">
        <is>
          <t>Rukomo</t>
        </is>
      </c>
      <c r="L24" s="20" t="inlineStr">
        <is>
          <t>Kinyami</t>
        </is>
      </c>
      <c r="M24" s="24" t="n">
        <v>46279.31612268519</v>
      </c>
    </row>
    <row r="25">
      <c r="A25" s="19" t="n">
        <v>14</v>
      </c>
      <c r="B25" s="19" t="inlineStr">
        <is>
          <t>T-001</t>
        </is>
      </c>
      <c r="C25" s="20" t="inlineStr">
        <is>
          <t>Mburamazi trf</t>
        </is>
      </c>
      <c r="D25" s="20" t="inlineStr">
        <is>
          <t>227017</t>
        </is>
      </c>
      <c r="E25" s="20" t="inlineStr">
        <is>
          <t>Manzi Intime</t>
        </is>
      </c>
      <c r="F25" s="19" t="inlineStr">
        <is>
          <t>maniraguhatheogene01</t>
        </is>
      </c>
      <c r="G25" s="19" t="n">
        <v>532581</v>
      </c>
      <c r="H25" s="20" t="inlineStr">
        <is>
          <t>FOLLOWED OUTSIDE BOUNDARY</t>
        </is>
      </c>
      <c r="I25" s="23" t="n">
        <v>0.1394347154468394</v>
      </c>
      <c r="J25" s="20" t="inlineStr">
        <is>
          <t>Gicumbi</t>
        </is>
      </c>
      <c r="K25" s="20" t="inlineStr">
        <is>
          <t>Rukomo</t>
        </is>
      </c>
      <c r="L25" s="20" t="inlineStr">
        <is>
          <t>Kinyami</t>
        </is>
      </c>
      <c r="M25" s="24" t="n">
        <v>46279.38613425926</v>
      </c>
    </row>
    <row r="26">
      <c r="A26" s="19" t="n">
        <v>15</v>
      </c>
      <c r="B26" s="19" t="inlineStr">
        <is>
          <t>T-001</t>
        </is>
      </c>
      <c r="C26" s="20" t="inlineStr">
        <is>
          <t>Mburamazi trf</t>
        </is>
      </c>
      <c r="D26" s="20" t="inlineStr">
        <is>
          <t>227017</t>
        </is>
      </c>
      <c r="E26" s="20" t="inlineStr">
        <is>
          <t>Manzi Intime</t>
        </is>
      </c>
      <c r="F26" s="19" t="inlineStr">
        <is>
          <t>maniraguhatheogene01</t>
        </is>
      </c>
      <c r="G26" s="19" t="n">
        <v>536980</v>
      </c>
      <c r="H26" s="20" t="inlineStr">
        <is>
          <t>FOLLOWED OUTSIDE BOUNDARY</t>
        </is>
      </c>
      <c r="I26" s="23" t="n">
        <v>0.08470237136812322</v>
      </c>
      <c r="J26" s="20" t="inlineStr">
        <is>
          <t>Gicumbi</t>
        </is>
      </c>
      <c r="K26" s="20" t="inlineStr">
        <is>
          <t>Rukomo</t>
        </is>
      </c>
      <c r="L26" s="20" t="inlineStr">
        <is>
          <t>Kinyami</t>
        </is>
      </c>
      <c r="M26" s="24" t="n">
        <v>46279.39291666666</v>
      </c>
    </row>
    <row r="27">
      <c r="A27" s="19" t="n">
        <v>16</v>
      </c>
      <c r="B27" s="19" t="inlineStr">
        <is>
          <t>T-001</t>
        </is>
      </c>
      <c r="C27" s="20" t="inlineStr">
        <is>
          <t>Mburamazi trf</t>
        </is>
      </c>
      <c r="D27" s="20" t="inlineStr">
        <is>
          <t>227017</t>
        </is>
      </c>
      <c r="E27" s="20" t="inlineStr">
        <is>
          <t>Manzi Intime</t>
        </is>
      </c>
      <c r="F27" s="19" t="inlineStr">
        <is>
          <t>maniraguhatheogene01</t>
        </is>
      </c>
      <c r="G27" s="19" t="n">
        <v>540184</v>
      </c>
      <c r="H27" s="20" t="inlineStr">
        <is>
          <t>FOLLOWED OUTSIDE BOUNDARY</t>
        </is>
      </c>
      <c r="I27" s="23" t="n">
        <v>0.1868675346514542</v>
      </c>
      <c r="J27" s="20" t="inlineStr">
        <is>
          <t>Gicumbi</t>
        </is>
      </c>
      <c r="K27" s="20" t="inlineStr">
        <is>
          <t>Rukomo</t>
        </is>
      </c>
      <c r="L27" s="20" t="inlineStr">
        <is>
          <t>Kinyami</t>
        </is>
      </c>
      <c r="M27" s="24" t="n">
        <v>46279.40844907407</v>
      </c>
    </row>
    <row r="28">
      <c r="A28" s="19" t="n">
        <v>17</v>
      </c>
      <c r="B28" s="19" t="inlineStr">
        <is>
          <t>T-001</t>
        </is>
      </c>
      <c r="C28" s="20" t="inlineStr">
        <is>
          <t>Mburamazi trf</t>
        </is>
      </c>
      <c r="D28" s="20" t="inlineStr">
        <is>
          <t>227017</t>
        </is>
      </c>
      <c r="E28" s="20" t="inlineStr">
        <is>
          <t>Manzi Intime</t>
        </is>
      </c>
      <c r="F28" s="19" t="inlineStr">
        <is>
          <t>maniraguhatheogene01</t>
        </is>
      </c>
      <c r="G28" s="19" t="n">
        <v>540185</v>
      </c>
      <c r="H28" s="20" t="inlineStr">
        <is>
          <t>FOLLOWED OUTSIDE BOUNDARY</t>
        </is>
      </c>
      <c r="I28" s="23" t="n">
        <v>0.04823885226713007</v>
      </c>
      <c r="J28" s="20" t="inlineStr">
        <is>
          <t>Gicumbi</t>
        </is>
      </c>
      <c r="K28" s="20" t="inlineStr">
        <is>
          <t>Rukomo</t>
        </is>
      </c>
      <c r="L28" s="20" t="inlineStr">
        <is>
          <t>Kinyami</t>
        </is>
      </c>
      <c r="M28" s="24" t="n">
        <v>46279.40920138889</v>
      </c>
    </row>
    <row r="29">
      <c r="A29" s="19" t="n">
        <v>18</v>
      </c>
      <c r="B29" s="19" t="inlineStr">
        <is>
          <t>T-001</t>
        </is>
      </c>
      <c r="C29" s="20" t="inlineStr">
        <is>
          <t>Mburamazi trf</t>
        </is>
      </c>
      <c r="D29" s="20" t="inlineStr">
        <is>
          <t>227017</t>
        </is>
      </c>
      <c r="E29" s="20" t="inlineStr">
        <is>
          <t>Manzi Intime</t>
        </is>
      </c>
      <c r="F29" s="19" t="inlineStr">
        <is>
          <t>maniraguhatheogene01</t>
        </is>
      </c>
      <c r="G29" s="19" t="n">
        <v>547779</v>
      </c>
      <c r="H29" s="20" t="inlineStr">
        <is>
          <t>FOLLOWED OUTSIDE BOUNDARY</t>
        </is>
      </c>
      <c r="I29" s="23" t="n">
        <v>0.09178550503917079</v>
      </c>
      <c r="J29" s="20" t="inlineStr">
        <is>
          <t>Gicumbi</t>
        </is>
      </c>
      <c r="K29" s="20" t="inlineStr">
        <is>
          <t>Rukomo</t>
        </is>
      </c>
      <c r="L29" s="20" t="inlineStr">
        <is>
          <t>Kinyami</t>
        </is>
      </c>
      <c r="M29" s="24" t="n">
        <v>46279.41962962963</v>
      </c>
    </row>
    <row r="30">
      <c r="A30" s="19" t="n">
        <v>19</v>
      </c>
      <c r="B30" s="19" t="inlineStr">
        <is>
          <t>T-001</t>
        </is>
      </c>
      <c r="C30" s="20" t="inlineStr">
        <is>
          <t>Mburamazi trf</t>
        </is>
      </c>
      <c r="D30" s="20" t="inlineStr">
        <is>
          <t>227017</t>
        </is>
      </c>
      <c r="E30" s="20" t="inlineStr">
        <is>
          <t>Manzi Intime</t>
        </is>
      </c>
      <c r="F30" s="19" t="inlineStr">
        <is>
          <t>maniraguhatheogene01</t>
        </is>
      </c>
      <c r="G30" s="19" t="n">
        <v>575390</v>
      </c>
      <c r="H30" s="20" t="inlineStr">
        <is>
          <t>FOLLOWED OUTSIDE BOUNDARY</t>
        </is>
      </c>
      <c r="I30" s="23" t="n">
        <v>0.0959296153427511</v>
      </c>
      <c r="J30" s="20" t="inlineStr">
        <is>
          <t>Gicumbi</t>
        </is>
      </c>
      <c r="K30" s="20" t="inlineStr">
        <is>
          <t>Rukomo</t>
        </is>
      </c>
      <c r="L30" s="20" t="inlineStr">
        <is>
          <t>Kinyami</t>
        </is>
      </c>
      <c r="M30" s="24" t="n">
        <v>46279.53158564815</v>
      </c>
    </row>
    <row r="31">
      <c r="A31" s="19" t="n">
        <v>20</v>
      </c>
      <c r="B31" s="19" t="inlineStr">
        <is>
          <t>T-001</t>
        </is>
      </c>
      <c r="C31" s="20" t="inlineStr">
        <is>
          <t>Mburamazi trf</t>
        </is>
      </c>
      <c r="D31" s="20" t="inlineStr">
        <is>
          <t>227017</t>
        </is>
      </c>
      <c r="E31" s="20" t="inlineStr">
        <is>
          <t>Manzi Intime</t>
        </is>
      </c>
      <c r="F31" s="19" t="inlineStr">
        <is>
          <t>maniraguhatheogene01</t>
        </is>
      </c>
      <c r="G31" s="19" t="n">
        <v>583382</v>
      </c>
      <c r="H31" s="20" t="inlineStr">
        <is>
          <t>FOLLOWED OUTSIDE BOUNDARY</t>
        </is>
      </c>
      <c r="I31" s="23" t="n">
        <v>0.0528971581016865</v>
      </c>
      <c r="J31" s="20" t="inlineStr">
        <is>
          <t>Gicumbi</t>
        </is>
      </c>
      <c r="K31" s="20" t="inlineStr">
        <is>
          <t>Rukomo</t>
        </is>
      </c>
      <c r="L31" s="20" t="inlineStr">
        <is>
          <t>Kinyami; Mabare</t>
        </is>
      </c>
      <c r="M31" s="24" t="n">
        <v>46279.52600694444</v>
      </c>
    </row>
    <row r="32">
      <c r="A32" s="19" t="n">
        <v>21</v>
      </c>
      <c r="B32" s="19" t="inlineStr">
        <is>
          <t>T-001</t>
        </is>
      </c>
      <c r="C32" s="20" t="inlineStr">
        <is>
          <t>Mburamazi trf</t>
        </is>
      </c>
      <c r="D32" s="20" t="inlineStr">
        <is>
          <t>227017</t>
        </is>
      </c>
      <c r="E32" s="20" t="inlineStr">
        <is>
          <t>Manzi Intime</t>
        </is>
      </c>
      <c r="F32" s="19" t="inlineStr">
        <is>
          <t>maniraguhatheogene01</t>
        </is>
      </c>
      <c r="G32" s="19" t="n">
        <v>606185</v>
      </c>
      <c r="H32" s="20" t="inlineStr">
        <is>
          <t>FOLLOWED OUTSIDE BOUNDARY</t>
        </is>
      </c>
      <c r="I32" s="23" t="n">
        <v>0.1983468941821601</v>
      </c>
      <c r="J32" s="20" t="inlineStr">
        <is>
          <t>Gicumbi</t>
        </is>
      </c>
      <c r="K32" s="20" t="inlineStr">
        <is>
          <t>Rukomo</t>
        </is>
      </c>
      <c r="L32" s="20" t="inlineStr">
        <is>
          <t>Mabare</t>
        </is>
      </c>
      <c r="M32" s="24" t="n">
        <v>46279.55049768519</v>
      </c>
    </row>
    <row r="33">
      <c r="A33" s="19" t="n">
        <v>22</v>
      </c>
      <c r="B33" s="19" t="inlineStr">
        <is>
          <t>T-001</t>
        </is>
      </c>
      <c r="C33" s="20" t="inlineStr">
        <is>
          <t>Mburamazi trf</t>
        </is>
      </c>
      <c r="D33" s="20" t="inlineStr">
        <is>
          <t>227017</t>
        </is>
      </c>
      <c r="E33" s="20" t="inlineStr">
        <is>
          <t>Manzi Intime</t>
        </is>
      </c>
      <c r="F33" s="19" t="inlineStr">
        <is>
          <t>maniraguhatheogene01</t>
        </is>
      </c>
      <c r="G33" s="19" t="n">
        <v>630980</v>
      </c>
      <c r="H33" s="20" t="inlineStr">
        <is>
          <t>FOLLOWED OUTSIDE BOUNDARY</t>
        </is>
      </c>
      <c r="I33" s="23" t="n">
        <v>0.09786515497913593</v>
      </c>
      <c r="J33" s="20" t="inlineStr">
        <is>
          <t>Gicumbi</t>
        </is>
      </c>
      <c r="K33" s="20" t="inlineStr">
        <is>
          <t>Rukomo</t>
        </is>
      </c>
      <c r="L33" s="20" t="inlineStr">
        <is>
          <t>Mabare</t>
        </is>
      </c>
      <c r="M33" s="24" t="n">
        <v>46279.57574074074</v>
      </c>
    </row>
    <row r="34">
      <c r="A34" s="19" t="n">
        <v>23</v>
      </c>
      <c r="B34" s="19" t="inlineStr">
        <is>
          <t>T-001</t>
        </is>
      </c>
      <c r="C34" s="20" t="inlineStr">
        <is>
          <t>Mburamazi trf</t>
        </is>
      </c>
      <c r="D34" s="20" t="inlineStr">
        <is>
          <t>227017</t>
        </is>
      </c>
      <c r="E34" s="20" t="inlineStr">
        <is>
          <t>Manzi Intime</t>
        </is>
      </c>
      <c r="F34" s="19" t="inlineStr">
        <is>
          <t>maniraguhatheogene01</t>
        </is>
      </c>
      <c r="G34" s="19" t="n">
        <v>633382</v>
      </c>
      <c r="H34" s="20" t="inlineStr">
        <is>
          <t>FOLLOWED OUTSIDE BOUNDARY</t>
        </is>
      </c>
      <c r="I34" s="23" t="n">
        <v>0.2785338240194893</v>
      </c>
      <c r="J34" s="20" t="inlineStr">
        <is>
          <t>Gicumbi</t>
        </is>
      </c>
      <c r="K34" s="20" t="inlineStr">
        <is>
          <t>Rukomo</t>
        </is>
      </c>
      <c r="L34" s="20" t="inlineStr">
        <is>
          <t>Mabare</t>
        </is>
      </c>
      <c r="M34" s="24" t="n">
        <v>46279.58219907407</v>
      </c>
    </row>
    <row r="35">
      <c r="A35" s="19" t="n">
        <v>24</v>
      </c>
      <c r="B35" s="19" t="inlineStr">
        <is>
          <t>T-001</t>
        </is>
      </c>
      <c r="C35" s="20" t="inlineStr">
        <is>
          <t>Mburamazi trf</t>
        </is>
      </c>
      <c r="D35" s="20" t="inlineStr">
        <is>
          <t>227017</t>
        </is>
      </c>
      <c r="E35" s="20" t="inlineStr">
        <is>
          <t>Manzi Intime</t>
        </is>
      </c>
      <c r="F35" s="19" t="inlineStr">
        <is>
          <t>maniraguhatheogene01</t>
        </is>
      </c>
      <c r="G35" s="19" t="n">
        <v>651781</v>
      </c>
      <c r="H35" s="20" t="inlineStr">
        <is>
          <t>FOLLOWED OUTSIDE BOUNDARY</t>
        </is>
      </c>
      <c r="I35" s="23" t="n">
        <v>0.136440886547328</v>
      </c>
      <c r="J35" s="20" t="inlineStr">
        <is>
          <t>Gicumbi</t>
        </is>
      </c>
      <c r="K35" s="20" t="inlineStr">
        <is>
          <t>Rukomo</t>
        </is>
      </c>
      <c r="L35" s="20" t="inlineStr">
        <is>
          <t>Mabare</t>
        </is>
      </c>
      <c r="M35" s="24" t="n">
        <v>46279.61135416666</v>
      </c>
    </row>
    <row r="36">
      <c r="A36" s="19" t="n">
        <v>25</v>
      </c>
      <c r="B36" s="19" t="inlineStr">
        <is>
          <t>T-001</t>
        </is>
      </c>
      <c r="C36" s="20" t="inlineStr">
        <is>
          <t>Mburamazi trf</t>
        </is>
      </c>
      <c r="D36" s="20" t="inlineStr">
        <is>
          <t>227017</t>
        </is>
      </c>
      <c r="E36" s="20" t="inlineStr">
        <is>
          <t>Manzi Intime</t>
        </is>
      </c>
      <c r="F36" s="19" t="inlineStr">
        <is>
          <t>maniraguhatheogene01</t>
        </is>
      </c>
      <c r="G36" s="19" t="n">
        <v>652981</v>
      </c>
      <c r="H36" s="20" t="inlineStr">
        <is>
          <t>FOLLOWED OUTSIDE BOUNDARY</t>
        </is>
      </c>
      <c r="I36" s="23" t="n">
        <v>0.04481294268422907</v>
      </c>
      <c r="J36" s="20" t="inlineStr">
        <is>
          <t>Gicumbi</t>
        </is>
      </c>
      <c r="K36" s="20" t="inlineStr">
        <is>
          <t>Rukomo</t>
        </is>
      </c>
      <c r="L36" s="20" t="inlineStr">
        <is>
          <t>Mabare</t>
        </is>
      </c>
      <c r="M36" s="24" t="n">
        <v>46279.61670138889</v>
      </c>
    </row>
    <row r="37">
      <c r="A37" s="19" t="n">
        <v>26</v>
      </c>
      <c r="B37" s="19" t="inlineStr">
        <is>
          <t>T-001</t>
        </is>
      </c>
      <c r="C37" s="20" t="inlineStr">
        <is>
          <t>Mburamazi trf</t>
        </is>
      </c>
      <c r="D37" s="20" t="inlineStr">
        <is>
          <t>227017</t>
        </is>
      </c>
      <c r="E37" s="20" t="inlineStr">
        <is>
          <t>Manzi Intime</t>
        </is>
      </c>
      <c r="F37" s="19" t="inlineStr">
        <is>
          <t>maniraguhatheogene01</t>
        </is>
      </c>
      <c r="G37" s="19" t="n">
        <v>658982</v>
      </c>
      <c r="H37" s="20" t="inlineStr">
        <is>
          <t>FOLLOWED OUTSIDE BOUNDARY</t>
        </is>
      </c>
      <c r="I37" s="23" t="n">
        <v>0.1429589949778085</v>
      </c>
      <c r="J37" s="20" t="inlineStr">
        <is>
          <t>Gicumbi</t>
        </is>
      </c>
      <c r="K37" s="20" t="inlineStr">
        <is>
          <t>Rukomo</t>
        </is>
      </c>
      <c r="L37" s="20" t="inlineStr">
        <is>
          <t>Kinyami</t>
        </is>
      </c>
      <c r="M37" s="24" t="n">
        <v>46279.63041666667</v>
      </c>
    </row>
    <row r="38">
      <c r="A38" s="19" t="n">
        <v>27</v>
      </c>
      <c r="B38" s="19" t="inlineStr">
        <is>
          <t>T-001</t>
        </is>
      </c>
      <c r="C38" s="20" t="inlineStr">
        <is>
          <t>Mburamazi trf</t>
        </is>
      </c>
      <c r="D38" s="20" t="inlineStr">
        <is>
          <t>227017</t>
        </is>
      </c>
      <c r="E38" s="20" t="inlineStr">
        <is>
          <t>Manzi Intime</t>
        </is>
      </c>
      <c r="F38" s="19" t="inlineStr">
        <is>
          <t>maniraguhatheogene01</t>
        </is>
      </c>
      <c r="G38" s="19" t="n">
        <v>659382</v>
      </c>
      <c r="H38" s="20" t="inlineStr">
        <is>
          <t>FOLLOWED OUTSIDE BOUNDARY</t>
        </is>
      </c>
      <c r="I38" s="23" t="n">
        <v>0.07249223749926609</v>
      </c>
      <c r="J38" s="20" t="inlineStr">
        <is>
          <t>Gicumbi</t>
        </is>
      </c>
      <c r="K38" s="20" t="inlineStr">
        <is>
          <t>Rukomo</t>
        </is>
      </c>
      <c r="L38" s="20" t="inlineStr">
        <is>
          <t>Kinyami</t>
        </is>
      </c>
      <c r="M38" s="24" t="n">
        <v>46279.64143518519</v>
      </c>
    </row>
    <row r="39">
      <c r="A39" s="19" t="n">
        <v>28</v>
      </c>
      <c r="B39" s="19" t="inlineStr">
        <is>
          <t>T-001</t>
        </is>
      </c>
      <c r="C39" s="20" t="inlineStr">
        <is>
          <t>Mburamazi trf</t>
        </is>
      </c>
      <c r="D39" s="20" t="inlineStr">
        <is>
          <t>227017</t>
        </is>
      </c>
      <c r="E39" s="20" t="inlineStr">
        <is>
          <t>Manzi Intime</t>
        </is>
      </c>
      <c r="F39" s="19" t="inlineStr">
        <is>
          <t>maniraguhatheogene01</t>
        </is>
      </c>
      <c r="G39" s="19" t="n">
        <v>659384</v>
      </c>
      <c r="H39" s="20" t="inlineStr">
        <is>
          <t>FOLLOWED OUTSIDE BOUNDARY</t>
        </is>
      </c>
      <c r="I39" s="23" t="n">
        <v>0.1012858658349723</v>
      </c>
      <c r="J39" s="20" t="inlineStr">
        <is>
          <t>Gicumbi</t>
        </is>
      </c>
      <c r="K39" s="20" t="inlineStr">
        <is>
          <t>Rukomo</t>
        </is>
      </c>
      <c r="L39" s="20" t="inlineStr">
        <is>
          <t>Kinyami</t>
        </is>
      </c>
      <c r="M39" s="24" t="n">
        <v>46279.64538194444</v>
      </c>
    </row>
    <row r="40">
      <c r="A40" s="19" t="n">
        <v>29</v>
      </c>
      <c r="B40" s="19" t="inlineStr">
        <is>
          <t>T-001</t>
        </is>
      </c>
      <c r="C40" s="20" t="inlineStr">
        <is>
          <t>Mburamazi trf</t>
        </is>
      </c>
      <c r="D40" s="20" t="inlineStr">
        <is>
          <t>227017</t>
        </is>
      </c>
      <c r="E40" s="20" t="inlineStr">
        <is>
          <t>Manzi Intime</t>
        </is>
      </c>
      <c r="F40" s="19" t="inlineStr">
        <is>
          <t>maniraguhatheogene01</t>
        </is>
      </c>
      <c r="G40" s="19" t="n">
        <v>671782</v>
      </c>
      <c r="H40" s="20" t="inlineStr">
        <is>
          <t>FOLLOWED OUTSIDE BOUNDARY</t>
        </is>
      </c>
      <c r="I40" s="23" t="n">
        <v>0.1559518712770101</v>
      </c>
      <c r="J40" s="20" t="inlineStr">
        <is>
          <t>Gicumbi</t>
        </is>
      </c>
      <c r="K40" s="20" t="inlineStr">
        <is>
          <t>Rukomo</t>
        </is>
      </c>
      <c r="L40" s="20" t="inlineStr">
        <is>
          <t>Kinyami</t>
        </is>
      </c>
      <c r="M40" s="24" t="n">
        <v>46279.64501157407</v>
      </c>
    </row>
    <row r="42">
      <c r="A42" s="25" t="inlineStr">
        <is>
          <t>Unassigned LV Candidates - Not Counted</t>
        </is>
      </c>
    </row>
    <row r="43">
      <c r="A43" s="26" t="inlineStr">
        <is>
          <t>S/N</t>
        </is>
      </c>
      <c r="B43" s="26" t="inlineStr">
        <is>
          <t>Line OBJECTID</t>
        </is>
      </c>
      <c r="C43" s="26" t="inlineStr">
        <is>
          <t>Creator Name</t>
        </is>
      </c>
      <c r="D43" s="26" t="inlineStr">
        <is>
          <t>User Name</t>
        </is>
      </c>
      <c r="E43" s="26" t="inlineStr">
        <is>
          <t>Entered Transformer Name</t>
        </is>
      </c>
      <c r="F43" s="26" t="inlineStr">
        <is>
          <t>Line km</t>
        </is>
      </c>
      <c r="G43" s="26" t="inlineStr">
        <is>
          <t>Recorded Sector</t>
        </is>
      </c>
      <c r="H43" s="26" t="inlineStr">
        <is>
          <t>Boundary Status</t>
        </is>
      </c>
      <c r="I43" s="26" t="inlineStr">
        <is>
          <t>Reason</t>
        </is>
      </c>
    </row>
  </sheetData>
  <autoFilter ref="A7:J8"/>
  <mergeCells count="6">
    <mergeCell ref="A1:M1"/>
    <mergeCell ref="A6:J6"/>
    <mergeCell ref="A42:I42"/>
    <mergeCell ref="C5:M5"/>
    <mergeCell ref="A2:M2"/>
    <mergeCell ref="A10:M10"/>
  </mergeCells>
  <conditionalFormatting sqref="H12:H40">
    <cfRule type="expression" priority="1" dxfId="0">
      <formula>LEFT(H12,7)="CROSSES"</formula>
    </cfRule>
    <cfRule type="expression" priority="2" dxfId="1">
      <formula>LEFT(H12,8)="FOLLOWED"</formula>
    </cfRule>
  </conditionalFormatting>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2026-09-16T07:26:23Z</dcterms:created>
  <dcterms:modified xmlns:dcterms="http://purl.org/dc/terms/" xmlns:xsi="http://www.w3.org/2001/XMLSchema-instance" xsi:type="dcterms:W3CDTF">2026-09-16T07:26:23Z</dcterms:modified>
</cp:coreProperties>
</file>
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Transformer Tracking Log" sheetId="2" state="visible" r:id="rId2"/>
  </sheets>
  <definedNames>
    <definedName name="_xlnm._FilterDatabase" localSheetId="1" hidden="1">'Transformer Tracking Log'!$A$7:$I$15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"/>
    <numFmt numFmtId="166" formatCode="yyyy-mm-dd hh:mm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i val="1"/>
      <color rgb="0017365D"/>
      <sz val="10"/>
    </font>
    <font>
      <b val="1"/>
      <color rgb="0017365D"/>
    </font>
    <font>
      <b val="1"/>
      <color rgb="00FFFFFF"/>
    </font>
    <font>
      <b val="1"/>
      <color rgb="00C00000"/>
    </font>
    <font>
      <b val="1"/>
    </font>
  </fonts>
  <fills count="13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B4C6E7"/>
      </patternFill>
    </fill>
    <fill>
      <patternFill patternType="solid">
        <fgColor rgb="00FFD966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E7E6E6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2" fillId="2" borderId="2" pivotButton="0" quotePrefix="0" xfId="0"/>
    <xf numFmtId="0" fontId="2" fillId="0" borderId="2" pivotButton="0" quotePrefix="0" xfId="0"/>
    <xf numFmtId="0" fontId="1" fillId="4" borderId="2" applyAlignment="1" pivotButton="0" quotePrefix="0" xfId="0">
      <alignment horizontal="left"/>
    </xf>
    <xf numFmtId="0" fontId="0" fillId="4" borderId="2" pivotButton="0" quotePrefix="0" xfId="0"/>
    <xf numFmtId="2" fontId="1" fillId="4" borderId="2" pivotButton="0" quotePrefix="0" xfId="0"/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5" fillId="7" borderId="3" applyAlignment="1" pivotButton="0" quotePrefix="0" xfId="0">
      <alignment vertical="center" wrapText="1"/>
    </xf>
    <xf numFmtId="0" fontId="6" fillId="8" borderId="3" applyAlignment="1" pivotButton="0" quotePrefix="0" xfId="0">
      <alignment horizontal="center" vertical="center"/>
    </xf>
    <xf numFmtId="2" fontId="6" fillId="8" borderId="3" applyAlignment="1" pivotButton="0" quotePrefix="0" xfId="0">
      <alignment horizontal="center" vertical="center"/>
    </xf>
    <xf numFmtId="0" fontId="7" fillId="9" borderId="0" pivotButton="0" quotePrefix="0" xfId="0"/>
    <xf numFmtId="0" fontId="8" fillId="10" borderId="0" applyAlignment="1" pivotButton="0" quotePrefix="0" xfId="0">
      <alignment horizontal="center"/>
    </xf>
    <xf numFmtId="0" fontId="5" fillId="11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left"/>
    </xf>
    <xf numFmtId="0" fontId="6" fillId="12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2" fontId="0" fillId="0" borderId="3" applyAlignment="1" pivotButton="0" quotePrefix="0" xfId="0">
      <alignment vertical="top"/>
    </xf>
    <xf numFmtId="0" fontId="6" fillId="5" borderId="0" pivotButton="0" quotePrefix="0" xfId="0"/>
    <xf numFmtId="165" fontId="0" fillId="0" borderId="3" applyAlignment="1" pivotButton="0" quotePrefix="0" xfId="0">
      <alignment vertical="top"/>
    </xf>
    <xf numFmtId="166" fontId="0" fillId="0" borderId="3" applyAlignment="1" pivotButton="0" quotePrefix="0" xfId="0">
      <alignment vertical="top"/>
    </xf>
    <xf numFmtId="0" fontId="7" fillId="10" borderId="0" pivotButton="0" quotePrefix="0" xfId="0"/>
    <xf numFmtId="0" fontId="5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9C5700"/>
      </font>
      <fill>
        <patternFill patternType="solid">
          <fgColor rgb="00FCE4D6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ocalizedTransformerRegister" displayName="LocalizedTransformerRegister" ref="A7:I15" headerRowCount="1">
  <autoFilter ref="A7:I15"/>
  <tableColumns count="9">
    <tableColumn id="1" name="Transformer No."/>
    <tableColumn id="2" name="Transformer Name"/>
    <tableColumn id="3" name="System OBJECTID(s)"/>
    <tableColumn id="4" name="Surveyor(s) Working"/>
    <tableColumn id="5" name="LV Records"/>
    <tableColumn id="6" name="Total km"/>
    <tableColumn id="7" name="Crossing Records"/>
    <tableColumn id="8" name="Outside Records"/>
    <tableColumn id="9" name="Exception k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erBoundaryContinuation" displayName="TransformerBoundaryContinuation" ref="A18:M28" headerRowCount="1">
  <autoFilter ref="A18:M28"/>
  <tableColumns count="13">
    <tableColumn id="1" name="S/N"/>
    <tableColumn id="2" name="Transformer No."/>
    <tableColumn id="3" name="Transformer Name"/>
    <tableColumn id="4" name="Transformer OBJECTID(s)"/>
    <tableColumn id="5" name="Creator Name"/>
    <tableColumn id="6" name="User Name"/>
    <tableColumn id="7" name="Line OBJECTID"/>
    <tableColumn id="8" name="Boundary Status"/>
    <tableColumn id="9" name="Line km"/>
    <tableColumn id="10" name="District(s) Touched"/>
    <tableColumn id="11" name="Sector(s) Touched"/>
    <tableColumn id="12" name="Cell(s) Touched"/>
    <tableColumn id="13" name="Created 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nsformerLocalizationWarnings" displayName="TransformerLocalizationWarnings" ref="A31:H56" headerRowCount="1">
  <autoFilter ref="A31:H56"/>
  <tableColumns count="8">
    <tableColumn id="1" name="S/N"/>
    <tableColumn id="2" name="Line OBJECTID"/>
    <tableColumn id="3" name="Creator Name"/>
    <tableColumn id="4" name="User Name"/>
    <tableColumn id="5" name="Entered Transformer Name"/>
    <tableColumn id="6" name="Line km"/>
    <tableColumn id="7" name="Recorded Sector"/>
    <tableColumn id="8" name="Reas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.75"/>
  <cols>
    <col width="7.28515625" customWidth="1" min="1" max="1"/>
    <col width="63.140625" customWidth="1" min="2" max="2"/>
    <col width="37.42578125" customWidth="1" min="3" max="3"/>
    <col width="18.28515625" customWidth="1" min="4" max="4"/>
  </cols>
  <sheetData>
    <row r="2" ht="18" customHeight="1">
      <c r="A2" s="1" t="inlineStr">
        <is>
          <t>Progress Report GICUMBI DISTRICT: Rukomo Sector (From 1st September to 15th September 2026)</t>
        </is>
      </c>
    </row>
    <row r="4" ht="30" customHeight="1">
      <c r="A4" s="2" t="inlineStr">
        <is>
          <t>S/N</t>
        </is>
      </c>
      <c r="B4" s="2" t="inlineStr">
        <is>
          <t>Creator Name</t>
        </is>
      </c>
      <c r="C4" s="2" t="inlineStr">
        <is>
          <t>User Name</t>
        </is>
      </c>
      <c r="D4" s="3" t="inlineStr">
        <is>
          <t>Surveyed LV Line Records(km)</t>
        </is>
      </c>
    </row>
    <row r="5">
      <c r="A5" s="4" t="n">
        <v>1</v>
      </c>
      <c r="B5" s="5" t="inlineStr">
        <is>
          <t>Ngurinzira J.D'Amour</t>
        </is>
      </c>
      <c r="C5" s="5" t="inlineStr">
        <is>
          <t>jeandamourngurinzira22</t>
        </is>
      </c>
      <c r="D5" s="5" t="n">
        <v>1.946653394473277</v>
      </c>
    </row>
    <row r="6">
      <c r="A6" s="4" t="n">
        <v>2</v>
      </c>
      <c r="B6" s="5" t="inlineStr">
        <is>
          <t>Manzi Intime</t>
        </is>
      </c>
      <c r="C6" s="5" t="inlineStr">
        <is>
          <t>maniraguhatheogene01</t>
        </is>
      </c>
      <c r="D6" s="5" t="n">
        <v>4.840158120568542</v>
      </c>
    </row>
    <row r="7">
      <c r="A7" s="4" t="n">
        <v>3</v>
      </c>
      <c r="B7" s="5" t="inlineStr">
        <is>
          <t>BIZIMANA Jean de Dieu</t>
        </is>
      </c>
      <c r="C7" s="5" t="inlineStr">
        <is>
          <t>nambajimana281</t>
        </is>
      </c>
      <c r="D7" s="5" t="n">
        <v>7.073951879523169</v>
      </c>
    </row>
    <row r="8">
      <c r="A8" s="4" t="n">
        <v>4</v>
      </c>
      <c r="B8" s="5" t="inlineStr">
        <is>
          <t>Nshimiyimana Jean Baptiste</t>
        </is>
      </c>
      <c r="C8" s="5" t="inlineStr">
        <is>
          <t>ninamenye9683</t>
        </is>
      </c>
      <c r="D8" s="5" t="n">
        <v>7.100016300351481</v>
      </c>
    </row>
    <row r="9">
      <c r="A9" s="6" t="inlineStr">
        <is>
          <t>Total</t>
        </is>
      </c>
      <c r="B9" s="7" t="n"/>
      <c r="C9" s="7" t="n"/>
      <c r="D9" s="8">
        <f>SUM(D5:D8)</f>
        <v/>
      </c>
    </row>
  </sheetData>
  <mergeCells count="2">
    <mergeCell ref="A9:C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4" customWidth="1" min="4" max="4"/>
    <col width="30" customWidth="1" min="5" max="5"/>
    <col width="25" customWidth="1" min="6" max="6"/>
    <col width="16" customWidth="1" min="7" max="7"/>
    <col width="28" customWidth="1" min="8" max="8"/>
    <col width="12" customWidth="1" min="9" max="9"/>
    <col width="23" customWidth="1" min="10" max="10"/>
    <col width="24" customWidth="1" min="11" max="11"/>
    <col width="27" customWidth="1" min="12" max="12"/>
    <col width="20" customWidth="1" min="13" max="13"/>
  </cols>
  <sheetData>
    <row r="1" ht="36" customHeight="1">
      <c r="A1" s="9" t="inlineStr">
        <is>
          <t>Transformer Boundary Continuation Log - Progress Report GICUMBI DISTRICT: Rukomo Sector (From 1st September to 15th September 2026)</t>
        </is>
      </c>
    </row>
    <row r="2" ht="34" customHeight="1">
      <c r="A2" s="10" t="inlineStr">
        <is>
          <t>The selected boundary localizes distribution transformers first. Matching surveyor LV lines are then followed beyond the boundary; those extension records are included in the main report totals and itemized below.</t>
        </is>
      </c>
    </row>
    <row r="4" ht="30" customHeight="1">
      <c r="A4" s="11" t="inlineStr">
        <is>
          <t>Transformers</t>
        </is>
      </c>
      <c r="B4" s="12">
        <f>COUNTA(A8:A15)</f>
        <v/>
      </c>
      <c r="C4" s="11" t="inlineStr">
        <is>
          <t>Surveyors</t>
        </is>
      </c>
      <c r="D4" s="12" t="n">
        <v>4</v>
      </c>
      <c r="E4" s="11" t="inlineStr">
        <is>
          <t>LV records</t>
        </is>
      </c>
      <c r="F4" s="12">
        <f>SUM(E8:E15)</f>
        <v/>
      </c>
      <c r="G4" s="11" t="inlineStr">
        <is>
          <t>LV km</t>
        </is>
      </c>
      <c r="H4" s="13">
        <f>SUM(F8:F15)</f>
        <v/>
      </c>
      <c r="I4" s="11" t="inlineStr">
        <is>
          <t>Cross / outside</t>
        </is>
      </c>
      <c r="J4" s="12">
        <f>SUM(G8:H15)</f>
        <v/>
      </c>
      <c r="K4" s="11" t="inlineStr">
        <is>
          <t>Exception km</t>
        </is>
      </c>
      <c r="L4" s="13">
        <f>SUM(I8:I15)</f>
        <v/>
      </c>
    </row>
    <row r="5">
      <c r="A5" s="14" t="inlineStr">
        <is>
          <t>Warnings</t>
        </is>
      </c>
      <c r="B5" s="15" t="n">
        <v>25</v>
      </c>
      <c r="C5" s="16" t="inlineStr">
        <is>
          <t>Selected boundary: Gicumbi / Rukomo</t>
        </is>
      </c>
    </row>
    <row r="6">
      <c r="A6" s="17" t="inlineStr">
        <is>
          <t>Localized Transformer Register</t>
        </is>
      </c>
    </row>
    <row r="7" ht="30" customHeight="1">
      <c r="A7" s="18" t="inlineStr">
        <is>
          <t>Transformer No.</t>
        </is>
      </c>
      <c r="B7" s="18" t="inlineStr">
        <is>
          <t>Transformer Name</t>
        </is>
      </c>
      <c r="C7" s="18" t="inlineStr">
        <is>
          <t>System OBJECTID(s)</t>
        </is>
      </c>
      <c r="D7" s="18" t="inlineStr">
        <is>
          <t>Surveyor(s) Working</t>
        </is>
      </c>
      <c r="E7" s="18" t="inlineStr">
        <is>
          <t>LV Records</t>
        </is>
      </c>
      <c r="F7" s="18" t="inlineStr">
        <is>
          <t>Total km</t>
        </is>
      </c>
      <c r="G7" s="18" t="inlineStr">
        <is>
          <t>Crossing Records</t>
        </is>
      </c>
      <c r="H7" s="18" t="inlineStr">
        <is>
          <t>Outside Records</t>
        </is>
      </c>
      <c r="I7" s="18" t="inlineStr">
        <is>
          <t>Exception km</t>
        </is>
      </c>
    </row>
    <row r="8">
      <c r="A8" s="19" t="inlineStr">
        <is>
          <t>T-001</t>
        </is>
      </c>
      <c r="B8" s="20" t="inlineStr">
        <is>
          <t>Cyuru2</t>
        </is>
      </c>
      <c r="C8" s="20" t="inlineStr">
        <is>
          <t>250617</t>
        </is>
      </c>
      <c r="D8" s="20" t="inlineStr">
        <is>
          <t>Manzi Intime (maniraguhatheogene01)</t>
        </is>
      </c>
      <c r="E8" s="19" t="n">
        <v>16</v>
      </c>
      <c r="F8" s="21" t="n">
        <v>1.562422292721205</v>
      </c>
      <c r="G8" s="19" t="n">
        <v>0</v>
      </c>
      <c r="H8" s="19" t="n">
        <v>0</v>
      </c>
      <c r="I8" s="21" t="n">
        <v>0</v>
      </c>
    </row>
    <row r="9">
      <c r="A9" s="19" t="inlineStr">
        <is>
          <t>T-002</t>
        </is>
      </c>
      <c r="B9" s="20" t="inlineStr">
        <is>
          <t>Gahumuliza</t>
        </is>
      </c>
      <c r="C9" s="20" t="inlineStr">
        <is>
          <t>239417</t>
        </is>
      </c>
      <c r="D9" s="20" t="inlineStr">
        <is>
          <t>Ngurinzira J.D'Amour (jeandamourngurinzira22)</t>
        </is>
      </c>
      <c r="E9" s="19" t="n">
        <v>9</v>
      </c>
      <c r="F9" s="21" t="n">
        <v>1.946653394473277</v>
      </c>
      <c r="G9" s="19" t="n">
        <v>2</v>
      </c>
      <c r="H9" s="19" t="n">
        <v>6</v>
      </c>
      <c r="I9" s="21" t="n">
        <v>1.920910588196959</v>
      </c>
    </row>
    <row r="10">
      <c r="A10" s="19" t="inlineStr">
        <is>
          <t>T-003</t>
        </is>
      </c>
      <c r="B10" s="20" t="inlineStr">
        <is>
          <t>Mburamazi trf</t>
        </is>
      </c>
      <c r="C10" s="20" t="inlineStr">
        <is>
          <t>227017</t>
        </is>
      </c>
      <c r="D10" s="20" t="inlineStr">
        <is>
          <t>Manzi Intime (maniraguhatheogene01)</t>
        </is>
      </c>
      <c r="E10" s="19" t="n">
        <v>29</v>
      </c>
      <c r="F10" s="21" t="n">
        <v>3.217127680641234</v>
      </c>
      <c r="G10" s="19" t="n">
        <v>0</v>
      </c>
      <c r="H10" s="19" t="n">
        <v>0</v>
      </c>
      <c r="I10" s="21" t="n">
        <v>0</v>
      </c>
    </row>
    <row r="11">
      <c r="A11" s="19" t="inlineStr">
        <is>
          <t>T-004</t>
        </is>
      </c>
      <c r="B11" s="20" t="inlineStr">
        <is>
          <t>Munyinya 1</t>
        </is>
      </c>
      <c r="C11" s="20" t="inlineStr">
        <is>
          <t>251017</t>
        </is>
      </c>
      <c r="D11" s="20" t="inlineStr">
        <is>
          <t>BIZIMANA Jean de Dieu (nambajimana281)</t>
        </is>
      </c>
      <c r="E11" s="19" t="n">
        <v>5</v>
      </c>
      <c r="F11" s="21" t="n">
        <v>0.7906050028384385</v>
      </c>
      <c r="G11" s="19" t="n">
        <v>0</v>
      </c>
      <c r="H11" s="19" t="n">
        <v>0</v>
      </c>
      <c r="I11" s="21" t="n">
        <v>0</v>
      </c>
    </row>
    <row r="12">
      <c r="A12" s="19" t="inlineStr">
        <is>
          <t>T-005</t>
        </is>
      </c>
      <c r="B12" s="20" t="inlineStr">
        <is>
          <t>Munyinya 2</t>
        </is>
      </c>
      <c r="C12" s="20" t="inlineStr">
        <is>
          <t>255021</t>
        </is>
      </c>
      <c r="D12" s="20" t="inlineStr">
        <is>
          <t>BIZIMANA Jean de Dieu (nambajimana281)</t>
        </is>
      </c>
      <c r="E12" s="19" t="n">
        <v>7</v>
      </c>
      <c r="F12" s="21" t="n">
        <v>1.622004414358602</v>
      </c>
      <c r="G12" s="19" t="n">
        <v>0</v>
      </c>
      <c r="H12" s="19" t="n">
        <v>0</v>
      </c>
      <c r="I12" s="21" t="n">
        <v>0</v>
      </c>
    </row>
    <row r="13">
      <c r="A13" s="19" t="inlineStr">
        <is>
          <t>T-006</t>
        </is>
      </c>
      <c r="B13" s="20" t="inlineStr">
        <is>
          <t>Nyinawimana</t>
        </is>
      </c>
      <c r="C13" s="20" t="inlineStr">
        <is>
          <t>255822</t>
        </is>
      </c>
      <c r="D13" s="20" t="inlineStr">
        <is>
          <t>Manzi Intime (maniraguhatheogene01)</t>
        </is>
      </c>
      <c r="E13" s="19" t="n">
        <v>2</v>
      </c>
      <c r="F13" s="21" t="n">
        <v>0.0606081472061024</v>
      </c>
      <c r="G13" s="19" t="n">
        <v>1</v>
      </c>
      <c r="H13" s="19" t="n">
        <v>1</v>
      </c>
      <c r="I13" s="21" t="n">
        <v>0.0606081472061024</v>
      </c>
    </row>
    <row r="14">
      <c r="A14" s="19" t="inlineStr">
        <is>
          <t>T-007</t>
        </is>
      </c>
      <c r="B14" s="20" t="inlineStr">
        <is>
          <t>Rukomo/Meshero</t>
        </is>
      </c>
      <c r="C14" s="20" t="inlineStr">
        <is>
          <t>226217</t>
        </is>
      </c>
      <c r="D14" s="20" t="inlineStr">
        <is>
          <t>BIZIMANA Jean de Dieu (nambajimana281)</t>
        </is>
      </c>
      <c r="E14" s="19" t="n">
        <v>28</v>
      </c>
      <c r="F14" s="21" t="n">
        <v>4.661342462326126</v>
      </c>
      <c r="G14" s="19" t="n">
        <v>0</v>
      </c>
      <c r="H14" s="19" t="n">
        <v>0</v>
      </c>
      <c r="I14" s="21" t="n">
        <v>0</v>
      </c>
    </row>
    <row r="15">
      <c r="A15" s="19" t="inlineStr">
        <is>
          <t>T-008</t>
        </is>
      </c>
      <c r="B15" s="20" t="inlineStr">
        <is>
          <t>Ryarubanza</t>
        </is>
      </c>
      <c r="C15" s="20" t="inlineStr">
        <is>
          <t>240217</t>
        </is>
      </c>
      <c r="D15" s="20" t="inlineStr">
        <is>
          <t>Nshimiyimana Jean Baptiste (ninamenye9683)</t>
        </is>
      </c>
      <c r="E15" s="19" t="n">
        <v>36</v>
      </c>
      <c r="F15" s="21" t="n">
        <v>7.100016300351481</v>
      </c>
      <c r="G15" s="19" t="n">
        <v>0</v>
      </c>
      <c r="H15" s="19" t="n">
        <v>0</v>
      </c>
      <c r="I15" s="21" t="n">
        <v>0</v>
      </c>
    </row>
    <row r="17">
      <c r="A17" s="22" t="inlineStr">
        <is>
          <t>Boundary Continuation Detail</t>
        </is>
      </c>
    </row>
    <row r="18" ht="34" customHeight="1">
      <c r="A18" s="18" t="inlineStr">
        <is>
          <t>S/N</t>
        </is>
      </c>
      <c r="B18" s="18" t="inlineStr">
        <is>
          <t>Transformer No.</t>
        </is>
      </c>
      <c r="C18" s="18" t="inlineStr">
        <is>
          <t>Transformer Name</t>
        </is>
      </c>
      <c r="D18" s="18" t="inlineStr">
        <is>
          <t>Transformer OBJECTID(s)</t>
        </is>
      </c>
      <c r="E18" s="18" t="inlineStr">
        <is>
          <t>Creator Name</t>
        </is>
      </c>
      <c r="F18" s="18" t="inlineStr">
        <is>
          <t>User Name</t>
        </is>
      </c>
      <c r="G18" s="18" t="inlineStr">
        <is>
          <t>Line OBJECTID</t>
        </is>
      </c>
      <c r="H18" s="18" t="inlineStr">
        <is>
          <t>Boundary Status</t>
        </is>
      </c>
      <c r="I18" s="18" t="inlineStr">
        <is>
          <t>Line km</t>
        </is>
      </c>
      <c r="J18" s="18" t="inlineStr">
        <is>
          <t>District(s) Touched</t>
        </is>
      </c>
      <c r="K18" s="18" t="inlineStr">
        <is>
          <t>Sector(s) Touched</t>
        </is>
      </c>
      <c r="L18" s="18" t="inlineStr">
        <is>
          <t>Cell(s) Touched</t>
        </is>
      </c>
      <c r="M18" s="18" t="inlineStr">
        <is>
          <t>Created Date</t>
        </is>
      </c>
    </row>
    <row r="19">
      <c r="A19" s="19" t="n">
        <v>1</v>
      </c>
      <c r="B19" s="19" t="inlineStr">
        <is>
          <t>T-002</t>
        </is>
      </c>
      <c r="C19" s="20" t="inlineStr">
        <is>
          <t>Gahumuliza</t>
        </is>
      </c>
      <c r="D19" s="20" t="inlineStr">
        <is>
          <t>239417</t>
        </is>
      </c>
      <c r="E19" s="20" t="inlineStr">
        <is>
          <t>Ngurinzira J.D'Amour</t>
        </is>
      </c>
      <c r="F19" s="19" t="inlineStr">
        <is>
          <t>jeandamourngurinzira22</t>
        </is>
      </c>
      <c r="G19" s="19" t="n">
        <v>578982</v>
      </c>
      <c r="H19" s="20" t="inlineStr">
        <is>
          <t>CROSSES SELECTED BOUNDARY</t>
        </is>
      </c>
      <c r="I19" s="23" t="n">
        <v>0.1408183117726424</v>
      </c>
      <c r="J19" s="20" t="inlineStr">
        <is>
          <t>Gicumbi</t>
        </is>
      </c>
      <c r="K19" s="20" t="inlineStr">
        <is>
          <t>Nyamiyaga; Rukomo</t>
        </is>
      </c>
      <c r="L19" s="20" t="inlineStr">
        <is>
          <t>Cyuru; Gahumuliza; Kabeza</t>
        </is>
      </c>
      <c r="M19" s="24" t="n">
        <v>46279.51998842593</v>
      </c>
    </row>
    <row r="20">
      <c r="A20" s="19" t="n">
        <v>2</v>
      </c>
      <c r="B20" s="19" t="inlineStr">
        <is>
          <t>T-002</t>
        </is>
      </c>
      <c r="C20" s="20" t="inlineStr">
        <is>
          <t>Gahumuliza</t>
        </is>
      </c>
      <c r="D20" s="20" t="inlineStr">
        <is>
          <t>239417</t>
        </is>
      </c>
      <c r="E20" s="20" t="inlineStr">
        <is>
          <t>Ngurinzira J.D'Amour</t>
        </is>
      </c>
      <c r="F20" s="19" t="inlineStr">
        <is>
          <t>jeandamourngurinzira22</t>
        </is>
      </c>
      <c r="G20" s="19" t="n">
        <v>593780</v>
      </c>
      <c r="H20" s="20" t="inlineStr">
        <is>
          <t>CROSSES SELECTED BOUNDARY</t>
        </is>
      </c>
      <c r="I20" s="23" t="n">
        <v>0.04261973092219143</v>
      </c>
      <c r="J20" s="20" t="inlineStr">
        <is>
          <t>Gicumbi</t>
        </is>
      </c>
      <c r="K20" s="20" t="inlineStr">
        <is>
          <t>Nyamiyaga; Rukomo</t>
        </is>
      </c>
      <c r="L20" s="20" t="inlineStr">
        <is>
          <t>Cyuru; Kabeza</t>
        </is>
      </c>
      <c r="M20" s="24" t="n">
        <v>46279.53032407408</v>
      </c>
    </row>
    <row r="21">
      <c r="A21" s="19" t="n">
        <v>3</v>
      </c>
      <c r="B21" s="19" t="inlineStr">
        <is>
          <t>T-002</t>
        </is>
      </c>
      <c r="C21" s="20" t="inlineStr">
        <is>
          <t>Gahumuliza</t>
        </is>
      </c>
      <c r="D21" s="20" t="inlineStr">
        <is>
          <t>239417</t>
        </is>
      </c>
      <c r="E21" s="20" t="inlineStr">
        <is>
          <t>Ngurinzira J.D'Amour</t>
        </is>
      </c>
      <c r="F21" s="19" t="inlineStr">
        <is>
          <t>jeandamourngurinzira22</t>
        </is>
      </c>
      <c r="G21" s="19" t="n">
        <v>572182</v>
      </c>
      <c r="H21" s="20" t="inlineStr">
        <is>
          <t>FOLLOWED OUTSIDE BOUNDARY</t>
        </is>
      </c>
      <c r="I21" s="23" t="n">
        <v>0.2318318608639805</v>
      </c>
      <c r="J21" s="20" t="inlineStr">
        <is>
          <t>Gicumbi</t>
        </is>
      </c>
      <c r="K21" s="20" t="inlineStr">
        <is>
          <t>Nyamiyaga</t>
        </is>
      </c>
      <c r="L21" s="20" t="inlineStr">
        <is>
          <t>Kabeza</t>
        </is>
      </c>
      <c r="M21" s="24" t="n">
        <v>46279.52644675926</v>
      </c>
    </row>
    <row r="22">
      <c r="A22" s="19" t="n">
        <v>4</v>
      </c>
      <c r="B22" s="19" t="inlineStr">
        <is>
          <t>T-002</t>
        </is>
      </c>
      <c r="C22" s="20" t="inlineStr">
        <is>
          <t>Gahumuliza</t>
        </is>
      </c>
      <c r="D22" s="20" t="inlineStr">
        <is>
          <t>239417</t>
        </is>
      </c>
      <c r="E22" s="20" t="inlineStr">
        <is>
          <t>Ngurinzira J.D'Amour</t>
        </is>
      </c>
      <c r="F22" s="19" t="inlineStr">
        <is>
          <t>jeandamourngurinzira22</t>
        </is>
      </c>
      <c r="G22" s="19" t="n">
        <v>602981</v>
      </c>
      <c r="H22" s="20" t="inlineStr">
        <is>
          <t>FOLLOWED OUTSIDE BOUNDARY</t>
        </is>
      </c>
      <c r="I22" s="23" t="n">
        <v>0.6324107817039867</v>
      </c>
      <c r="J22" s="20" t="inlineStr">
        <is>
          <t>Gicumbi</t>
        </is>
      </c>
      <c r="K22" s="20" t="inlineStr">
        <is>
          <t>Nyamiyaga</t>
        </is>
      </c>
      <c r="L22" s="20" t="inlineStr">
        <is>
          <t>Kabeza; Mataba</t>
        </is>
      </c>
      <c r="M22" s="24" t="n">
        <v>46279.55061342593</v>
      </c>
    </row>
    <row r="23">
      <c r="A23" s="19" t="n">
        <v>5</v>
      </c>
      <c r="B23" s="19" t="inlineStr">
        <is>
          <t>T-002</t>
        </is>
      </c>
      <c r="C23" s="20" t="inlineStr">
        <is>
          <t>Gahumuliza</t>
        </is>
      </c>
      <c r="D23" s="20" t="inlineStr">
        <is>
          <t>239417</t>
        </is>
      </c>
      <c r="E23" s="20" t="inlineStr">
        <is>
          <t>Ngurinzira J.D'Amour</t>
        </is>
      </c>
      <c r="F23" s="19" t="inlineStr">
        <is>
          <t>jeandamourngurinzira22</t>
        </is>
      </c>
      <c r="G23" s="19" t="n">
        <v>624181</v>
      </c>
      <c r="H23" s="20" t="inlineStr">
        <is>
          <t>FOLLOWED OUTSIDE BOUNDARY</t>
        </is>
      </c>
      <c r="I23" s="23" t="n">
        <v>0.4999754820967569</v>
      </c>
      <c r="J23" s="20" t="inlineStr">
        <is>
          <t>Gicumbi</t>
        </is>
      </c>
      <c r="K23" s="20" t="inlineStr">
        <is>
          <t>Nyamiyaga</t>
        </is>
      </c>
      <c r="L23" s="20" t="inlineStr">
        <is>
          <t>Mataba</t>
        </is>
      </c>
      <c r="M23" s="24" t="n">
        <v>46279.56875</v>
      </c>
    </row>
    <row r="24">
      <c r="A24" s="19" t="n">
        <v>6</v>
      </c>
      <c r="B24" s="19" t="inlineStr">
        <is>
          <t>T-002</t>
        </is>
      </c>
      <c r="C24" s="20" t="inlineStr">
        <is>
          <t>Gahumuliza</t>
        </is>
      </c>
      <c r="D24" s="20" t="inlineStr">
        <is>
          <t>239417</t>
        </is>
      </c>
      <c r="E24" s="20" t="inlineStr">
        <is>
          <t>Ngurinzira J.D'Amour</t>
        </is>
      </c>
      <c r="F24" s="19" t="inlineStr">
        <is>
          <t>jeandamourngurinzira22</t>
        </is>
      </c>
      <c r="G24" s="19" t="n">
        <v>631780</v>
      </c>
      <c r="H24" s="20" t="inlineStr">
        <is>
          <t>FOLLOWED OUTSIDE BOUNDARY</t>
        </is>
      </c>
      <c r="I24" s="23" t="n">
        <v>0.09929300849115268</v>
      </c>
      <c r="J24" s="20" t="inlineStr">
        <is>
          <t>Gicumbi</t>
        </is>
      </c>
      <c r="K24" s="20" t="inlineStr">
        <is>
          <t>Nyamiyaga</t>
        </is>
      </c>
      <c r="L24" s="20" t="inlineStr">
        <is>
          <t>Mataba</t>
        </is>
      </c>
      <c r="M24" s="24" t="n">
        <v>46279.57645833334</v>
      </c>
    </row>
    <row r="25">
      <c r="A25" s="19" t="n">
        <v>7</v>
      </c>
      <c r="B25" s="19" t="inlineStr">
        <is>
          <t>T-002</t>
        </is>
      </c>
      <c r="C25" s="20" t="inlineStr">
        <is>
          <t>Gahumuliza</t>
        </is>
      </c>
      <c r="D25" s="20" t="inlineStr">
        <is>
          <t>239417</t>
        </is>
      </c>
      <c r="E25" s="20" t="inlineStr">
        <is>
          <t>Ngurinzira J.D'Amour</t>
        </is>
      </c>
      <c r="F25" s="19" t="inlineStr">
        <is>
          <t>jeandamourngurinzira22</t>
        </is>
      </c>
      <c r="G25" s="19" t="n">
        <v>632181</v>
      </c>
      <c r="H25" s="20" t="inlineStr">
        <is>
          <t>FOLLOWED OUTSIDE BOUNDARY</t>
        </is>
      </c>
      <c r="I25" s="23" t="n">
        <v>0.111224292049055</v>
      </c>
      <c r="J25" s="20" t="inlineStr">
        <is>
          <t>Gicumbi</t>
        </is>
      </c>
      <c r="K25" s="20" t="inlineStr">
        <is>
          <t>Nyamiyaga</t>
        </is>
      </c>
      <c r="L25" s="20" t="inlineStr">
        <is>
          <t>Mataba</t>
        </is>
      </c>
      <c r="M25" s="24" t="n">
        <v>46279.57962962963</v>
      </c>
    </row>
    <row r="26">
      <c r="A26" s="19" t="n">
        <v>8</v>
      </c>
      <c r="B26" s="19" t="inlineStr">
        <is>
          <t>T-002</t>
        </is>
      </c>
      <c r="C26" s="20" t="inlineStr">
        <is>
          <t>Gahumuliza</t>
        </is>
      </c>
      <c r="D26" s="20" t="inlineStr">
        <is>
          <t>239417</t>
        </is>
      </c>
      <c r="E26" s="20" t="inlineStr">
        <is>
          <t>Ngurinzira J.D'Amour</t>
        </is>
      </c>
      <c r="F26" s="19" t="inlineStr">
        <is>
          <t>jeandamourngurinzira22</t>
        </is>
      </c>
      <c r="G26" s="19" t="n">
        <v>636582</v>
      </c>
      <c r="H26" s="20" t="inlineStr">
        <is>
          <t>FOLLOWED OUTSIDE BOUNDARY</t>
        </is>
      </c>
      <c r="I26" s="23" t="n">
        <v>0.1627371202971936</v>
      </c>
      <c r="J26" s="20" t="inlineStr">
        <is>
          <t>Gicumbi</t>
        </is>
      </c>
      <c r="K26" s="20" t="inlineStr">
        <is>
          <t>Nyamiyaga</t>
        </is>
      </c>
      <c r="L26" s="20" t="inlineStr">
        <is>
          <t>Mataba</t>
        </is>
      </c>
      <c r="M26" s="24" t="n">
        <v>46279.58570601852</v>
      </c>
    </row>
    <row r="27">
      <c r="A27" s="19" t="n">
        <v>9</v>
      </c>
      <c r="B27" s="19" t="inlineStr">
        <is>
          <t>T-006</t>
        </is>
      </c>
      <c r="C27" s="20" t="inlineStr">
        <is>
          <t>Nyinawimana</t>
        </is>
      </c>
      <c r="D27" s="20" t="inlineStr">
        <is>
          <t>255822</t>
        </is>
      </c>
      <c r="E27" s="20" t="inlineStr">
        <is>
          <t>Manzi Intime</t>
        </is>
      </c>
      <c r="F27" s="19" t="inlineStr">
        <is>
          <t>maniraguhatheogene01</t>
        </is>
      </c>
      <c r="G27" s="19" t="n">
        <v>713015</v>
      </c>
      <c r="H27" s="20" t="inlineStr">
        <is>
          <t>CROSSES SELECTED BOUNDARY</t>
        </is>
      </c>
      <c r="I27" s="23" t="n">
        <v>0.02044597602649609</v>
      </c>
      <c r="J27" s="20" t="inlineStr">
        <is>
          <t>Gicumbi</t>
        </is>
      </c>
      <c r="K27" s="20" t="inlineStr">
        <is>
          <t>Nyamiyaga; Rukomo</t>
        </is>
      </c>
      <c r="L27" s="20" t="inlineStr">
        <is>
          <t>Cyuru; Kiziba</t>
        </is>
      </c>
      <c r="M27" s="24" t="n">
        <v>46280.32684027778</v>
      </c>
    </row>
    <row r="28">
      <c r="A28" s="19" t="n">
        <v>10</v>
      </c>
      <c r="B28" s="19" t="inlineStr">
        <is>
          <t>T-006</t>
        </is>
      </c>
      <c r="C28" s="20" t="inlineStr">
        <is>
          <t>Nyinawimana</t>
        </is>
      </c>
      <c r="D28" s="20" t="inlineStr">
        <is>
          <t>255822</t>
        </is>
      </c>
      <c r="E28" s="20" t="inlineStr">
        <is>
          <t>Manzi Intime</t>
        </is>
      </c>
      <c r="F28" s="19" t="inlineStr">
        <is>
          <t>maniraguhatheogene01</t>
        </is>
      </c>
      <c r="G28" s="19" t="n">
        <v>686206</v>
      </c>
      <c r="H28" s="20" t="inlineStr">
        <is>
          <t>FOLLOWED OUTSIDE BOUNDARY</t>
        </is>
      </c>
      <c r="I28" s="23" t="n">
        <v>0.04016217117960631</v>
      </c>
      <c r="J28" s="20" t="inlineStr">
        <is>
          <t>Gicumbi</t>
        </is>
      </c>
      <c r="K28" s="20" t="inlineStr">
        <is>
          <t>Nyamiyaga</t>
        </is>
      </c>
      <c r="L28" s="20" t="inlineStr">
        <is>
          <t>Kiziba</t>
        </is>
      </c>
      <c r="M28" s="24" t="n">
        <v>46280.32769675926</v>
      </c>
    </row>
    <row r="30">
      <c r="A30" s="25" t="inlineStr">
        <is>
          <t>Localization Warnings - In-Boundary Lines Not Counted</t>
        </is>
      </c>
    </row>
    <row r="31">
      <c r="A31" s="26" t="inlineStr">
        <is>
          <t>S/N</t>
        </is>
      </c>
      <c r="B31" s="26" t="inlineStr">
        <is>
          <t>Line OBJECTID</t>
        </is>
      </c>
      <c r="C31" s="26" t="inlineStr">
        <is>
          <t>Creator Name</t>
        </is>
      </c>
      <c r="D31" s="26" t="inlineStr">
        <is>
          <t>User Name</t>
        </is>
      </c>
      <c r="E31" s="26" t="inlineStr">
        <is>
          <t>Entered Transformer Name</t>
        </is>
      </c>
      <c r="F31" s="26" t="inlineStr">
        <is>
          <t>Line km</t>
        </is>
      </c>
      <c r="G31" s="26" t="inlineStr">
        <is>
          <t>Recorded Sector</t>
        </is>
      </c>
      <c r="H31" s="26" t="inlineStr">
        <is>
          <t>Reason</t>
        </is>
      </c>
    </row>
    <row r="32">
      <c r="A32" s="19" t="n">
        <v>1</v>
      </c>
      <c r="B32" s="19" t="n">
        <v>612980</v>
      </c>
      <c r="C32" s="20" t="inlineStr">
        <is>
          <t>Nshimiyimana Jean Baptiste</t>
        </is>
      </c>
      <c r="D32" s="19" t="inlineStr">
        <is>
          <t>ninamenye9683</t>
        </is>
      </c>
      <c r="E32" s="20" t="inlineStr">
        <is>
          <t>[Blank]</t>
        </is>
      </c>
      <c r="F32" s="23" t="n">
        <v>0.04880607330445669</v>
      </c>
      <c r="G32" s="20" t="inlineStr"/>
      <c r="H32" s="20" t="inlineStr">
        <is>
          <t>No matching distribution-transformer point was localized inside the selected boundary.</t>
        </is>
      </c>
    </row>
    <row r="33">
      <c r="A33" s="19" t="n">
        <v>2</v>
      </c>
      <c r="B33" s="19" t="n">
        <v>613380</v>
      </c>
      <c r="C33" s="20" t="inlineStr">
        <is>
          <t>Nshimiyimana Jean Baptiste</t>
        </is>
      </c>
      <c r="D33" s="19" t="inlineStr">
        <is>
          <t>ninamenye9683</t>
        </is>
      </c>
      <c r="E33" s="20" t="inlineStr">
        <is>
          <t>[Blank]</t>
        </is>
      </c>
      <c r="F33" s="23" t="n">
        <v>0.04880607330445669</v>
      </c>
      <c r="G33" s="20" t="inlineStr"/>
      <c r="H33" s="20" t="inlineStr">
        <is>
          <t>No matching distribution-transformer point was localized inside the selected boundary.</t>
        </is>
      </c>
    </row>
    <row r="34">
      <c r="A34" s="19" t="n">
        <v>3</v>
      </c>
      <c r="B34" s="19" t="n">
        <v>489781</v>
      </c>
      <c r="C34" s="20" t="inlineStr">
        <is>
          <t>Nshimiyimana Jean Baptiste</t>
        </is>
      </c>
      <c r="D34" s="19" t="inlineStr">
        <is>
          <t>ninamenye9683</t>
        </is>
      </c>
      <c r="E34" s="20" t="inlineStr">
        <is>
          <t>Kiosque/Rukomo</t>
        </is>
      </c>
      <c r="F34" s="23" t="n">
        <v>0.05678610438214617</v>
      </c>
      <c r="G34" s="20" t="inlineStr"/>
      <c r="H34" s="20" t="inlineStr">
        <is>
          <t>No matching distribution-transformer point was localized inside the selected boundary.</t>
        </is>
      </c>
    </row>
    <row r="35">
      <c r="A35" s="19" t="n">
        <v>4</v>
      </c>
      <c r="B35" s="19" t="n">
        <v>492985</v>
      </c>
      <c r="C35" s="20" t="inlineStr">
        <is>
          <t>Nshimiyimana Jean Baptiste</t>
        </is>
      </c>
      <c r="D35" s="19" t="inlineStr">
        <is>
          <t>ninamenye9683</t>
        </is>
      </c>
      <c r="E35" s="20" t="inlineStr">
        <is>
          <t>Kiosque/Rukomo</t>
        </is>
      </c>
      <c r="F35" s="23" t="n">
        <v>0.1367780589824988</v>
      </c>
      <c r="G35" s="20" t="inlineStr"/>
      <c r="H35" s="20" t="inlineStr">
        <is>
          <t>No matching distribution-transformer point was localized inside the selected boundary.</t>
        </is>
      </c>
    </row>
    <row r="36">
      <c r="A36" s="19" t="n">
        <v>5</v>
      </c>
      <c r="B36" s="19" t="n">
        <v>494579</v>
      </c>
      <c r="C36" s="20" t="inlineStr">
        <is>
          <t>Nshimiyimana Jean Baptiste</t>
        </is>
      </c>
      <c r="D36" s="19" t="inlineStr">
        <is>
          <t>ninamenye9683</t>
        </is>
      </c>
      <c r="E36" s="20" t="inlineStr">
        <is>
          <t>Kiosque/Rukomo</t>
        </is>
      </c>
      <c r="F36" s="23" t="n">
        <v>0.2019145228168766</v>
      </c>
      <c r="G36" s="20" t="inlineStr"/>
      <c r="H36" s="20" t="inlineStr">
        <is>
          <t>No matching distribution-transformer point was localized inside the selected boundary.</t>
        </is>
      </c>
    </row>
    <row r="37">
      <c r="A37" s="19" t="n">
        <v>6</v>
      </c>
      <c r="B37" s="19" t="n">
        <v>494980</v>
      </c>
      <c r="C37" s="20" t="inlineStr">
        <is>
          <t>Nshimiyimana Jean Baptiste</t>
        </is>
      </c>
      <c r="D37" s="19" t="inlineStr">
        <is>
          <t>ninamenye9683</t>
        </is>
      </c>
      <c r="E37" s="20" t="inlineStr">
        <is>
          <t>Kiosque/Rukomo</t>
        </is>
      </c>
      <c r="F37" s="23" t="n">
        <v>0.1721129162421459</v>
      </c>
      <c r="G37" s="20" t="inlineStr"/>
      <c r="H37" s="20" t="inlineStr">
        <is>
          <t>No matching distribution-transformer point was localized inside the selected boundary.</t>
        </is>
      </c>
    </row>
    <row r="38">
      <c r="A38" s="19" t="n">
        <v>7</v>
      </c>
      <c r="B38" s="19" t="n">
        <v>494985</v>
      </c>
      <c r="C38" s="20" t="inlineStr">
        <is>
          <t>Nshimiyimana Jean Baptiste</t>
        </is>
      </c>
      <c r="D38" s="19" t="inlineStr">
        <is>
          <t>ninamenye9683</t>
        </is>
      </c>
      <c r="E38" s="20" t="inlineStr">
        <is>
          <t>Kiosque/Rukomo</t>
        </is>
      </c>
      <c r="F38" s="23" t="n">
        <v>0.2752114540728265</v>
      </c>
      <c r="G38" s="20" t="inlineStr"/>
      <c r="H38" s="20" t="inlineStr">
        <is>
          <t>No matching distribution-transformer point was localized inside the selected boundary.</t>
        </is>
      </c>
    </row>
    <row r="39">
      <c r="A39" s="19" t="n">
        <v>8</v>
      </c>
      <c r="B39" s="19" t="n">
        <v>500582</v>
      </c>
      <c r="C39" s="20" t="inlineStr">
        <is>
          <t>Nshimiyimana Jean Baptiste</t>
        </is>
      </c>
      <c r="D39" s="19" t="inlineStr">
        <is>
          <t>ninamenye9683</t>
        </is>
      </c>
      <c r="E39" s="20" t="inlineStr">
        <is>
          <t>Kiosque/Rukomo</t>
        </is>
      </c>
      <c r="F39" s="23" t="n">
        <v>0.18346298572846</v>
      </c>
      <c r="G39" s="20" t="inlineStr"/>
      <c r="H39" s="20" t="inlineStr">
        <is>
          <t>No matching distribution-transformer point was localized inside the selected boundary.</t>
        </is>
      </c>
    </row>
    <row r="40">
      <c r="A40" s="19" t="n">
        <v>9</v>
      </c>
      <c r="B40" s="19" t="n">
        <v>500980</v>
      </c>
      <c r="C40" s="20" t="inlineStr">
        <is>
          <t>Nshimiyimana Jean Baptiste</t>
        </is>
      </c>
      <c r="D40" s="19" t="inlineStr">
        <is>
          <t>ninamenye9683</t>
        </is>
      </c>
      <c r="E40" s="20" t="inlineStr">
        <is>
          <t>Kiosque/Rukomo</t>
        </is>
      </c>
      <c r="F40" s="23" t="n">
        <v>0.2032843500836709</v>
      </c>
      <c r="G40" s="20" t="inlineStr"/>
      <c r="H40" s="20" t="inlineStr">
        <is>
          <t>No matching distribution-transformer point was localized inside the selected boundary.</t>
        </is>
      </c>
    </row>
    <row r="41">
      <c r="A41" s="19" t="n">
        <v>10</v>
      </c>
      <c r="B41" s="19" t="n">
        <v>501379</v>
      </c>
      <c r="C41" s="20" t="inlineStr">
        <is>
          <t>Nshimiyimana Jean Baptiste</t>
        </is>
      </c>
      <c r="D41" s="19" t="inlineStr">
        <is>
          <t>ninamenye9683</t>
        </is>
      </c>
      <c r="E41" s="20" t="inlineStr">
        <is>
          <t>Kiosque/Rukomo</t>
        </is>
      </c>
      <c r="F41" s="23" t="n">
        <v>0.1079252520270094</v>
      </c>
      <c r="G41" s="20" t="inlineStr"/>
      <c r="H41" s="20" t="inlineStr">
        <is>
          <t>No matching distribution-transformer point was localized inside the selected boundary.</t>
        </is>
      </c>
    </row>
    <row r="42">
      <c r="A42" s="19" t="n">
        <v>11</v>
      </c>
      <c r="B42" s="19" t="n">
        <v>502980</v>
      </c>
      <c r="C42" s="20" t="inlineStr">
        <is>
          <t>Nshimiyimana Jean Baptiste</t>
        </is>
      </c>
      <c r="D42" s="19" t="inlineStr">
        <is>
          <t>ninamenye9683</t>
        </is>
      </c>
      <c r="E42" s="20" t="inlineStr">
        <is>
          <t>Kiosque/Rukomo</t>
        </is>
      </c>
      <c r="F42" s="23" t="n">
        <v>0.2720232971229575</v>
      </c>
      <c r="G42" s="20" t="inlineStr"/>
      <c r="H42" s="20" t="inlineStr">
        <is>
          <t>No matching distribution-transformer point was localized inside the selected boundary.</t>
        </is>
      </c>
    </row>
    <row r="43">
      <c r="A43" s="19" t="n">
        <v>12</v>
      </c>
      <c r="B43" s="19" t="n">
        <v>502985</v>
      </c>
      <c r="C43" s="20" t="inlineStr">
        <is>
          <t>Nshimiyimana Jean Baptiste</t>
        </is>
      </c>
      <c r="D43" s="19" t="inlineStr">
        <is>
          <t>ninamenye9683</t>
        </is>
      </c>
      <c r="E43" s="20" t="inlineStr">
        <is>
          <t>Kiosque/Rukomo</t>
        </is>
      </c>
      <c r="F43" s="23" t="n">
        <v>0.08420287975606229</v>
      </c>
      <c r="G43" s="20" t="inlineStr"/>
      <c r="H43" s="20" t="inlineStr">
        <is>
          <t>No matching distribution-transformer point was localized inside the selected boundary.</t>
        </is>
      </c>
    </row>
    <row r="44">
      <c r="A44" s="19" t="n">
        <v>13</v>
      </c>
      <c r="B44" s="19" t="n">
        <v>506179</v>
      </c>
      <c r="C44" s="20" t="inlineStr">
        <is>
          <t>Nshimiyimana Jean Baptiste</t>
        </is>
      </c>
      <c r="D44" s="19" t="inlineStr">
        <is>
          <t>ninamenye9683</t>
        </is>
      </c>
      <c r="E44" s="20" t="inlineStr">
        <is>
          <t>Kiosque/Rukomo</t>
        </is>
      </c>
      <c r="F44" s="23" t="n">
        <v>0.1822594666943444</v>
      </c>
      <c r="G44" s="20" t="inlineStr"/>
      <c r="H44" s="20" t="inlineStr">
        <is>
          <t>No matching distribution-transformer point was localized inside the selected boundary.</t>
        </is>
      </c>
    </row>
    <row r="45">
      <c r="A45" s="19" t="n">
        <v>14</v>
      </c>
      <c r="B45" s="19" t="n">
        <v>521379</v>
      </c>
      <c r="C45" s="20" t="inlineStr">
        <is>
          <t>Nshimiyimana Jean Baptiste</t>
        </is>
      </c>
      <c r="D45" s="19" t="inlineStr">
        <is>
          <t>ninamenye9683</t>
        </is>
      </c>
      <c r="E45" s="20" t="inlineStr">
        <is>
          <t>Kiosque/Rukomo</t>
        </is>
      </c>
      <c r="F45" s="23" t="n">
        <v>0.2305969557598523</v>
      </c>
      <c r="G45" s="20" t="inlineStr"/>
      <c r="H45" s="20" t="inlineStr">
        <is>
          <t>No matching distribution-transformer point was localized inside the selected boundary.</t>
        </is>
      </c>
    </row>
    <row r="46">
      <c r="A46" s="19" t="n">
        <v>15</v>
      </c>
      <c r="B46" s="19" t="n">
        <v>526579</v>
      </c>
      <c r="C46" s="20" t="inlineStr">
        <is>
          <t>Nshimiyimana Jean Baptiste</t>
        </is>
      </c>
      <c r="D46" s="19" t="inlineStr">
        <is>
          <t>ninamenye9683</t>
        </is>
      </c>
      <c r="E46" s="20" t="inlineStr">
        <is>
          <t>Kiosque/Rukomo</t>
        </is>
      </c>
      <c r="F46" s="23" t="n">
        <v>0.2850093038809482</v>
      </c>
      <c r="G46" s="20" t="inlineStr"/>
      <c r="H46" s="20" t="inlineStr">
        <is>
          <t>No matching distribution-transformer point was localized inside the selected boundary.</t>
        </is>
      </c>
    </row>
    <row r="47">
      <c r="A47" s="19" t="n">
        <v>16</v>
      </c>
      <c r="B47" s="19" t="n">
        <v>540979</v>
      </c>
      <c r="C47" s="20" t="inlineStr">
        <is>
          <t>Nshimiyimana Jean Baptiste</t>
        </is>
      </c>
      <c r="D47" s="19" t="inlineStr">
        <is>
          <t>ninamenye9683</t>
        </is>
      </c>
      <c r="E47" s="20" t="inlineStr">
        <is>
          <t>Kiosque/Rukomo</t>
        </is>
      </c>
      <c r="F47" s="23" t="n">
        <v>0.2406661199581547</v>
      </c>
      <c r="G47" s="20" t="inlineStr"/>
      <c r="H47" s="20" t="inlineStr">
        <is>
          <t>No matching distribution-transformer point was localized inside the selected boundary.</t>
        </is>
      </c>
    </row>
    <row r="48">
      <c r="A48" s="19" t="n">
        <v>17</v>
      </c>
      <c r="B48" s="19" t="n">
        <v>542179</v>
      </c>
      <c r="C48" s="20" t="inlineStr">
        <is>
          <t>Nshimiyimana Jean Baptiste</t>
        </is>
      </c>
      <c r="D48" s="19" t="inlineStr">
        <is>
          <t>ninamenye9683</t>
        </is>
      </c>
      <c r="E48" s="20" t="inlineStr">
        <is>
          <t>Kiosque/Rukomo</t>
        </is>
      </c>
      <c r="F48" s="23" t="n">
        <v>0.0646857546671666</v>
      </c>
      <c r="G48" s="20" t="inlineStr"/>
      <c r="H48" s="20" t="inlineStr">
        <is>
          <t>No matching distribution-transformer point was localized inside the selected boundary.</t>
        </is>
      </c>
    </row>
    <row r="49">
      <c r="A49" s="19" t="n">
        <v>18</v>
      </c>
      <c r="B49" s="19" t="n">
        <v>550179</v>
      </c>
      <c r="C49" s="20" t="inlineStr">
        <is>
          <t>Nshimiyimana Jean Baptiste</t>
        </is>
      </c>
      <c r="D49" s="19" t="inlineStr">
        <is>
          <t>ninamenye9683</t>
        </is>
      </c>
      <c r="E49" s="20" t="inlineStr">
        <is>
          <t>Kiosque/Rukomo</t>
        </is>
      </c>
      <c r="F49" s="23" t="n">
        <v>0.1989877027667017</v>
      </c>
      <c r="G49" s="20" t="inlineStr"/>
      <c r="H49" s="20" t="inlineStr">
        <is>
          <t>No matching distribution-transformer point was localized inside the selected boundary.</t>
        </is>
      </c>
    </row>
    <row r="50">
      <c r="A50" s="19" t="n">
        <v>19</v>
      </c>
      <c r="B50" s="19" t="n">
        <v>551779</v>
      </c>
      <c r="C50" s="20" t="inlineStr">
        <is>
          <t>Nshimiyimana Jean Baptiste</t>
        </is>
      </c>
      <c r="D50" s="19" t="inlineStr">
        <is>
          <t>ninamenye9683</t>
        </is>
      </c>
      <c r="E50" s="20" t="inlineStr">
        <is>
          <t>Kiosque/Rukomo</t>
        </is>
      </c>
      <c r="F50" s="23" t="n">
        <v>0.3094189880804434</v>
      </c>
      <c r="G50" s="20" t="inlineStr"/>
      <c r="H50" s="20" t="inlineStr">
        <is>
          <t>No matching distribution-transformer point was localized inside the selected boundary.</t>
        </is>
      </c>
    </row>
    <row r="51">
      <c r="A51" s="19" t="n">
        <v>20</v>
      </c>
      <c r="B51" s="19" t="n">
        <v>557779</v>
      </c>
      <c r="C51" s="20" t="inlineStr">
        <is>
          <t>Nshimiyimana Jean Baptiste</t>
        </is>
      </c>
      <c r="D51" s="19" t="inlineStr">
        <is>
          <t>ninamenye9683</t>
        </is>
      </c>
      <c r="E51" s="20" t="inlineStr">
        <is>
          <t>Kiosque/Rukomo</t>
        </is>
      </c>
      <c r="F51" s="23" t="n">
        <v>0.3094189880804434</v>
      </c>
      <c r="G51" s="20" t="inlineStr"/>
      <c r="H51" s="20" t="inlineStr">
        <is>
          <t>No matching distribution-transformer point was localized inside the selected boundary.</t>
        </is>
      </c>
    </row>
    <row r="52">
      <c r="A52" s="19" t="n">
        <v>21</v>
      </c>
      <c r="B52" s="19" t="n">
        <v>568179</v>
      </c>
      <c r="C52" s="20" t="inlineStr">
        <is>
          <t>Nshimiyimana Jean Baptiste</t>
        </is>
      </c>
      <c r="D52" s="19" t="inlineStr">
        <is>
          <t>ninamenye9683</t>
        </is>
      </c>
      <c r="E52" s="20" t="inlineStr">
        <is>
          <t>Kiosque/Rukomo</t>
        </is>
      </c>
      <c r="F52" s="23" t="n">
        <v>0.0911827935200496</v>
      </c>
      <c r="G52" s="20" t="inlineStr"/>
      <c r="H52" s="20" t="inlineStr">
        <is>
          <t>No matching distribution-transformer point was localized inside the selected boundary.</t>
        </is>
      </c>
    </row>
    <row r="53">
      <c r="A53" s="19" t="n">
        <v>22</v>
      </c>
      <c r="B53" s="19" t="n">
        <v>685805</v>
      </c>
      <c r="C53" s="20" t="inlineStr">
        <is>
          <t>Nshimiyimana Jean Baptiste</t>
        </is>
      </c>
      <c r="D53" s="19" t="inlineStr">
        <is>
          <t>ninamenye9683</t>
        </is>
      </c>
      <c r="E53" s="20" t="inlineStr">
        <is>
          <t>Kiosque/Rukomo</t>
        </is>
      </c>
      <c r="F53" s="23" t="n">
        <v>0.07720577238575804</v>
      </c>
      <c r="G53" s="20" t="inlineStr"/>
      <c r="H53" s="20" t="inlineStr">
        <is>
          <t>No matching distribution-transformer point was localized inside the selected boundary.</t>
        </is>
      </c>
    </row>
    <row r="54">
      <c r="A54" s="19" t="n">
        <v>23</v>
      </c>
      <c r="B54" s="19" t="n">
        <v>715014</v>
      </c>
      <c r="C54" s="20" t="inlineStr">
        <is>
          <t>Nshimiyimana Jean Baptiste</t>
        </is>
      </c>
      <c r="D54" s="19" t="inlineStr">
        <is>
          <t>ninamenye9683</t>
        </is>
      </c>
      <c r="E54" s="20" t="inlineStr">
        <is>
          <t>Kiosque/Rukomo</t>
        </is>
      </c>
      <c r="F54" s="23" t="n">
        <v>0.0549720492543256</v>
      </c>
      <c r="G54" s="20" t="inlineStr"/>
      <c r="H54" s="20" t="inlineStr">
        <is>
          <t>No matching distribution-transformer point was localized inside the selected boundary.</t>
        </is>
      </c>
    </row>
    <row r="55">
      <c r="A55" s="19" t="n">
        <v>24</v>
      </c>
      <c r="B55" s="19" t="n">
        <v>683386</v>
      </c>
      <c r="C55" s="20" t="inlineStr">
        <is>
          <t>BIZIMANA Jean de Dieu</t>
        </is>
      </c>
      <c r="D55" s="19" t="inlineStr">
        <is>
          <t>nambajimana281</t>
        </is>
      </c>
      <c r="E55" s="20" t="inlineStr">
        <is>
          <t>Rukomo/ Meshero</t>
        </is>
      </c>
      <c r="F55" s="23" t="n">
        <v>0.2200351741874946</v>
      </c>
      <c r="G55" s="20" t="inlineStr"/>
      <c r="H55" s="20" t="inlineStr">
        <is>
          <t>No matching distribution-transformer point was localized inside the selected boundary.</t>
        </is>
      </c>
    </row>
    <row r="56">
      <c r="A56" s="19" t="n">
        <v>25</v>
      </c>
      <c r="B56" s="19" t="n">
        <v>505782</v>
      </c>
      <c r="C56" s="20" t="inlineStr">
        <is>
          <t>BIZIMANA Jean de Dieu</t>
        </is>
      </c>
      <c r="D56" s="19" t="inlineStr">
        <is>
          <t>nambajimana281</t>
        </is>
      </c>
      <c r="E56" s="20" t="inlineStr">
        <is>
          <t>Rukomo/Mashero</t>
        </is>
      </c>
      <c r="F56" s="23" t="n">
        <v>0.2714545104259778</v>
      </c>
      <c r="G56" s="20" t="inlineStr"/>
      <c r="H56" s="20" t="inlineStr">
        <is>
          <t>No matching distribution-transformer point was localized inside the selected boundary.</t>
        </is>
      </c>
    </row>
  </sheetData>
  <autoFilter ref="A7:I15"/>
  <mergeCells count="6">
    <mergeCell ref="A30:H30"/>
    <mergeCell ref="A1:M1"/>
    <mergeCell ref="A17:M17"/>
    <mergeCell ref="C5:M5"/>
    <mergeCell ref="A6:I6"/>
    <mergeCell ref="A2:M2"/>
  </mergeCells>
  <conditionalFormatting sqref="H19:H28">
    <cfRule type="expression" priority="1" dxfId="0">
      <formula>LEFT(H19,7)="CROSSES"</formula>
    </cfRule>
    <cfRule type="expression" priority="2" dxfId="1">
      <formula>LEFT(H19,8)="FOLLOWED"</formula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2026-09-15T08:18:12Z</dcterms:created>
  <dcterms:modified xmlns:dcterms="http://purl.org/dc/terms/" xmlns:xsi="http://www.w3.org/2001/XMLSchema-instance" xsi:type="dcterms:W3CDTF">2026-09-15T08:18:12Z</dcterms:modified>
</cp:coreProperties>
</file>